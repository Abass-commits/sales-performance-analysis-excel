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Documents\"/>
    </mc:Choice>
  </mc:AlternateContent>
  <bookViews>
    <workbookView xWindow="0" yWindow="0" windowWidth="20490" windowHeight="9045" activeTab="3"/>
  </bookViews>
  <sheets>
    <sheet name="Sales_Data" sheetId="1" r:id="rId1"/>
    <sheet name="Workingboard" sheetId="2" r:id="rId2"/>
    <sheet name="Pivottable" sheetId="3" r:id="rId3"/>
    <sheet name="Dashboard1" sheetId="5" r:id="rId4"/>
  </sheets>
  <definedNames>
    <definedName name="_xlnm._FilterDatabase" localSheetId="1" hidden="1">Workingboard!$A$1:$M$501</definedName>
    <definedName name="NativeTimeline_Date">#N/A</definedName>
    <definedName name="Slicer_Product">#N/A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9" i="3" l="1"/>
  <c r="G128" i="3"/>
  <c r="N33" i="3"/>
  <c r="G126" i="3"/>
  <c r="D9" i="3"/>
  <c r="H50" i="3" l="1"/>
  <c r="H49" i="3"/>
  <c r="H48" i="3"/>
  <c r="H47" i="3"/>
  <c r="H46" i="3"/>
  <c r="H45" i="3"/>
  <c r="H44" i="3"/>
  <c r="H43" i="3"/>
  <c r="C13" i="3"/>
  <c r="E38" i="3"/>
  <c r="C12" i="3"/>
  <c r="Q13" i="3"/>
  <c r="C5" i="3"/>
  <c r="C8" i="3"/>
  <c r="E25" i="3"/>
  <c r="E24" i="3"/>
  <c r="C10" i="3"/>
  <c r="E36" i="3"/>
  <c r="E34" i="3"/>
  <c r="P10" i="3"/>
  <c r="E23" i="3"/>
  <c r="E27" i="3"/>
  <c r="E37" i="3"/>
  <c r="C6" i="3"/>
  <c r="C7" i="3"/>
  <c r="C4" i="3"/>
  <c r="E35" i="3"/>
  <c r="M9" i="3"/>
  <c r="E26" i="3"/>
  <c r="E21" i="3"/>
  <c r="R17" i="3"/>
  <c r="C9" i="3"/>
  <c r="C14" i="3"/>
  <c r="C11" i="3"/>
  <c r="E20" i="3"/>
  <c r="E22" i="3"/>
</calcChain>
</file>

<file path=xl/sharedStrings.xml><?xml version="1.0" encoding="utf-8"?>
<sst xmlns="http://schemas.openxmlformats.org/spreadsheetml/2006/main" count="8216" uniqueCount="772">
  <si>
    <t>Order ID</t>
  </si>
  <si>
    <t>Date</t>
  </si>
  <si>
    <t>Customer ID</t>
  </si>
  <si>
    <t>Customer Type</t>
  </si>
  <si>
    <t>Product</t>
  </si>
  <si>
    <t>Category</t>
  </si>
  <si>
    <t>Region</t>
  </si>
  <si>
    <t>Sales Rep</t>
  </si>
  <si>
    <t>Quantity</t>
  </si>
  <si>
    <t>Sales</t>
  </si>
  <si>
    <t>Cost</t>
  </si>
  <si>
    <t>Profit</t>
  </si>
  <si>
    <t>Order Status</t>
  </si>
  <si>
    <t>ORD-0001</t>
  </si>
  <si>
    <t>CUST-1140</t>
  </si>
  <si>
    <t>Returning</t>
  </si>
  <si>
    <t>Toyota Corolla</t>
  </si>
  <si>
    <t>Sedan</t>
  </si>
  <si>
    <t>Lagos</t>
  </si>
  <si>
    <t>John</t>
  </si>
  <si>
    <t>Completed</t>
  </si>
  <si>
    <t>ORD-0002</t>
  </si>
  <si>
    <t>CUST-1180</t>
  </si>
  <si>
    <t>New</t>
  </si>
  <si>
    <t>Rivers</t>
  </si>
  <si>
    <t>Fatima</t>
  </si>
  <si>
    <t>ORD-0003</t>
  </si>
  <si>
    <t>CUST-1072</t>
  </si>
  <si>
    <t>Lexus RX</t>
  </si>
  <si>
    <t>SUV</t>
  </si>
  <si>
    <t>Oyo</t>
  </si>
  <si>
    <t>David</t>
  </si>
  <si>
    <t>ORD-0004</t>
  </si>
  <si>
    <t>CUST-1118</t>
  </si>
  <si>
    <t>Aisha</t>
  </si>
  <si>
    <t>ORD-0005</t>
  </si>
  <si>
    <t>CUST-1018</t>
  </si>
  <si>
    <t>Musa</t>
  </si>
  <si>
    <t>ORD-0006</t>
  </si>
  <si>
    <t>CUST-1214</t>
  </si>
  <si>
    <t>Hyundai Tucson</t>
  </si>
  <si>
    <t>Ogun</t>
  </si>
  <si>
    <t>ORD-0007</t>
  </si>
  <si>
    <t>CUST-1137</t>
  </si>
  <si>
    <t>Honda Accord</t>
  </si>
  <si>
    <t>ORD-0008</t>
  </si>
  <si>
    <t>CUST-1199</t>
  </si>
  <si>
    <t>ORD-0009</t>
  </si>
  <si>
    <t>CUST-1055</t>
  </si>
  <si>
    <t>Abuja</t>
  </si>
  <si>
    <t>ORD-0010</t>
  </si>
  <si>
    <t>CUST-1230</t>
  </si>
  <si>
    <t>ORD-0011</t>
  </si>
  <si>
    <t>CUST-1161</t>
  </si>
  <si>
    <t>Toyota Camry</t>
  </si>
  <si>
    <t>ORD-0012</t>
  </si>
  <si>
    <t>CUST-1242</t>
  </si>
  <si>
    <t>Toyota Highlander</t>
  </si>
  <si>
    <t>ORD-0013</t>
  </si>
  <si>
    <t>CUST-1117</t>
  </si>
  <si>
    <t>Mercedes C-Class</t>
  </si>
  <si>
    <t>Luxury</t>
  </si>
  <si>
    <t>ORD-0014</t>
  </si>
  <si>
    <t>CUST-1130</t>
  </si>
  <si>
    <t>Kia Sportage</t>
  </si>
  <si>
    <t>ORD-0015</t>
  </si>
  <si>
    <t>CUST-1126</t>
  </si>
  <si>
    <t>ORD-0016</t>
  </si>
  <si>
    <t>CUST-1022</t>
  </si>
  <si>
    <t>Cancelled</t>
  </si>
  <si>
    <t>ORD-0017</t>
  </si>
  <si>
    <t>CUST-1109</t>
  </si>
  <si>
    <t>ORD-0018</t>
  </si>
  <si>
    <t>CUST-1031</t>
  </si>
  <si>
    <t>ORD-0019</t>
  </si>
  <si>
    <t>CUST-1059</t>
  </si>
  <si>
    <t>ORD-0020</t>
  </si>
  <si>
    <t>CUST-1147</t>
  </si>
  <si>
    <t>ORD-0021</t>
  </si>
  <si>
    <t>CUST-1120</t>
  </si>
  <si>
    <t>ORD-0022</t>
  </si>
  <si>
    <t>CUST-1049</t>
  </si>
  <si>
    <t>ORD-0023</t>
  </si>
  <si>
    <t>CUST-1141</t>
  </si>
  <si>
    <t>ORD-0024</t>
  </si>
  <si>
    <t>CUST-1125</t>
  </si>
  <si>
    <t>ORD-0025</t>
  </si>
  <si>
    <t>CUST-1074</t>
  </si>
  <si>
    <t>ORD-0026</t>
  </si>
  <si>
    <t>CUST-1016</t>
  </si>
  <si>
    <t>ORD-0027</t>
  </si>
  <si>
    <t>CUST-1048</t>
  </si>
  <si>
    <t>ORD-0028</t>
  </si>
  <si>
    <t>CUST-1159</t>
  </si>
  <si>
    <t>ORD-0029</t>
  </si>
  <si>
    <t>CUST-1102</t>
  </si>
  <si>
    <t>ORD-0030</t>
  </si>
  <si>
    <t>CUST-1026</t>
  </si>
  <si>
    <t>ORD-0031</t>
  </si>
  <si>
    <t>CUST-1113</t>
  </si>
  <si>
    <t>ORD-0032</t>
  </si>
  <si>
    <t>CUST-1170</t>
  </si>
  <si>
    <t>ORD-0033</t>
  </si>
  <si>
    <t>CUST-1053</t>
  </si>
  <si>
    <t>ORD-0034</t>
  </si>
  <si>
    <t>CUST-1086</t>
  </si>
  <si>
    <t>ORD-0035</t>
  </si>
  <si>
    <t>CUST-1177</t>
  </si>
  <si>
    <t>ORD-0036</t>
  </si>
  <si>
    <t>CUST-1204</t>
  </si>
  <si>
    <t>Emeka</t>
  </si>
  <si>
    <t>ORD-0037</t>
  </si>
  <si>
    <t>CUST-1192</t>
  </si>
  <si>
    <t>ORD-0038</t>
  </si>
  <si>
    <t>CUST-1239</t>
  </si>
  <si>
    <t>ORD-0039</t>
  </si>
  <si>
    <t>CUST-1210</t>
  </si>
  <si>
    <t>ORD-0040</t>
  </si>
  <si>
    <t>ORD-0041</t>
  </si>
  <si>
    <t>CUST-1067</t>
  </si>
  <si>
    <t>ORD-0042</t>
  </si>
  <si>
    <t>CUST-1030</t>
  </si>
  <si>
    <t>ORD-0043</t>
  </si>
  <si>
    <t>CUST-1190</t>
  </si>
  <si>
    <t>ORD-0044</t>
  </si>
  <si>
    <t>CUST-1077</t>
  </si>
  <si>
    <t>ORD-0045</t>
  </si>
  <si>
    <t>CUST-1174</t>
  </si>
  <si>
    <t>ORD-0046</t>
  </si>
  <si>
    <t>CUST-1168</t>
  </si>
  <si>
    <t>ORD-0047</t>
  </si>
  <si>
    <t>ORD-0048</t>
  </si>
  <si>
    <t>CUST-1051</t>
  </si>
  <si>
    <t>ORD-0049</t>
  </si>
  <si>
    <t>CUST-1050</t>
  </si>
  <si>
    <t>ORD-0050</t>
  </si>
  <si>
    <t>ORD-0051</t>
  </si>
  <si>
    <t>CUST-1171</t>
  </si>
  <si>
    <t>ORD-0052</t>
  </si>
  <si>
    <t>CUST-1233</t>
  </si>
  <si>
    <t>ORD-0053</t>
  </si>
  <si>
    <t>CUST-1134</t>
  </si>
  <si>
    <t>ORD-0054</t>
  </si>
  <si>
    <t>CUST-1036</t>
  </si>
  <si>
    <t>ORD-0055</t>
  </si>
  <si>
    <t>ORD-0056</t>
  </si>
  <si>
    <t>ORD-0057</t>
  </si>
  <si>
    <t>CUST-1008</t>
  </si>
  <si>
    <t>ORD-0058</t>
  </si>
  <si>
    <t>CUST-1007</t>
  </si>
  <si>
    <t>ORD-0059</t>
  </si>
  <si>
    <t>CUST-1084</t>
  </si>
  <si>
    <t>ORD-0060</t>
  </si>
  <si>
    <t>CUST-1121</t>
  </si>
  <si>
    <t>ORD-0061</t>
  </si>
  <si>
    <t>ORD-0062</t>
  </si>
  <si>
    <t>CUST-1066</t>
  </si>
  <si>
    <t>ORD-0063</t>
  </si>
  <si>
    <t>ORD-0064</t>
  </si>
  <si>
    <t>CUST-1063</t>
  </si>
  <si>
    <t>ORD-0065</t>
  </si>
  <si>
    <t>CUST-1110</t>
  </si>
  <si>
    <t>ORD-0066</t>
  </si>
  <si>
    <t>CUST-1229</t>
  </si>
  <si>
    <t>ORD-0067</t>
  </si>
  <si>
    <t>CUST-1124</t>
  </si>
  <si>
    <t>ORD-0068</t>
  </si>
  <si>
    <t>CUST-1119</t>
  </si>
  <si>
    <t>ORD-0069</t>
  </si>
  <si>
    <t>CUST-1088</t>
  </si>
  <si>
    <t>ORD-0070</t>
  </si>
  <si>
    <t>CUST-1143</t>
  </si>
  <si>
    <t>ORD-0071</t>
  </si>
  <si>
    <t>CUST-1079</t>
  </si>
  <si>
    <t>ORD-0072</t>
  </si>
  <si>
    <t>ORD-0073</t>
  </si>
  <si>
    <t>ORD-0074</t>
  </si>
  <si>
    <t>CUST-1046</t>
  </si>
  <si>
    <t>ORD-0075</t>
  </si>
  <si>
    <t>CUST-1223</t>
  </si>
  <si>
    <t>ORD-0076</t>
  </si>
  <si>
    <t>CUST-1123</t>
  </si>
  <si>
    <t>ORD-0077</t>
  </si>
  <si>
    <t>ORD-0078</t>
  </si>
  <si>
    <t>CUST-1114</t>
  </si>
  <si>
    <t>ORD-0079</t>
  </si>
  <si>
    <t>ORD-0080</t>
  </si>
  <si>
    <t>CUST-1075</t>
  </si>
  <si>
    <t>ORD-0081</t>
  </si>
  <si>
    <t>ORD-0082</t>
  </si>
  <si>
    <t>CUST-1043</t>
  </si>
  <si>
    <t>ORD-0083</t>
  </si>
  <si>
    <t>CUST-1139</t>
  </si>
  <si>
    <t>ORD-0084</t>
  </si>
  <si>
    <t>CUST-1173</t>
  </si>
  <si>
    <t>ORD-0085</t>
  </si>
  <si>
    <t>CUST-1167</t>
  </si>
  <si>
    <t>ORD-0086</t>
  </si>
  <si>
    <t>CUST-1083</t>
  </si>
  <si>
    <t>ORD-0087</t>
  </si>
  <si>
    <t>CUST-1023</t>
  </si>
  <si>
    <t>ORD-0088</t>
  </si>
  <si>
    <t>ORD-0089</t>
  </si>
  <si>
    <t>CUST-1034</t>
  </si>
  <si>
    <t>ORD-0090</t>
  </si>
  <si>
    <t>CUST-1004</t>
  </si>
  <si>
    <t>ORD-0091</t>
  </si>
  <si>
    <t>ORD-0092</t>
  </si>
  <si>
    <t>CUST-1236</t>
  </si>
  <si>
    <t>ORD-0093</t>
  </si>
  <si>
    <t>CUST-1211</t>
  </si>
  <si>
    <t>ORD-0094</t>
  </si>
  <si>
    <t>ORD-0095</t>
  </si>
  <si>
    <t>ORD-0096</t>
  </si>
  <si>
    <t>CUST-1039</t>
  </si>
  <si>
    <t>ORD-0097</t>
  </si>
  <si>
    <t>ORD-0098</t>
  </si>
  <si>
    <t>CUST-1178</t>
  </si>
  <si>
    <t>ORD-0099</t>
  </si>
  <si>
    <t>CUST-1195</t>
  </si>
  <si>
    <t>ORD-0100</t>
  </si>
  <si>
    <t>ORD-0101</t>
  </si>
  <si>
    <t>CUST-1038</t>
  </si>
  <si>
    <t>ORD-0102</t>
  </si>
  <si>
    <t>CUST-1062</t>
  </si>
  <si>
    <t>ORD-0103</t>
  </si>
  <si>
    <t>ORD-0104</t>
  </si>
  <si>
    <t>CUST-1217</t>
  </si>
  <si>
    <t>ORD-0105</t>
  </si>
  <si>
    <t>CUST-1006</t>
  </si>
  <si>
    <t>ORD-0106</t>
  </si>
  <si>
    <t>CUST-1232</t>
  </si>
  <si>
    <t>ORD-0107</t>
  </si>
  <si>
    <t>CUST-1175</t>
  </si>
  <si>
    <t>ORD-0108</t>
  </si>
  <si>
    <t>CUST-1024</t>
  </si>
  <si>
    <t>ORD-0109</t>
  </si>
  <si>
    <t>CUST-1213</t>
  </si>
  <si>
    <t>ORD-0110</t>
  </si>
  <si>
    <t>CUST-1194</t>
  </si>
  <si>
    <t>ORD-0111</t>
  </si>
  <si>
    <t>CUST-1138</t>
  </si>
  <si>
    <t>ORD-0112</t>
  </si>
  <si>
    <t>CUST-1060</t>
  </si>
  <si>
    <t>ORD-0113</t>
  </si>
  <si>
    <t>ORD-0114</t>
  </si>
  <si>
    <t>ORD-0115</t>
  </si>
  <si>
    <t>CUST-1227</t>
  </si>
  <si>
    <t>ORD-0116</t>
  </si>
  <si>
    <t>ORD-0117</t>
  </si>
  <si>
    <t>CUST-1248</t>
  </si>
  <si>
    <t>ORD-0118</t>
  </si>
  <si>
    <t>CUST-1033</t>
  </si>
  <si>
    <t>ORD-0119</t>
  </si>
  <si>
    <t>CUST-1202</t>
  </si>
  <si>
    <t>ORD-0120</t>
  </si>
  <si>
    <t>ORD-0121</t>
  </si>
  <si>
    <t>CUST-1135</t>
  </si>
  <si>
    <t>ORD-0122</t>
  </si>
  <si>
    <t>CUST-1012</t>
  </si>
  <si>
    <t>ORD-0123</t>
  </si>
  <si>
    <t>CUST-1183</t>
  </si>
  <si>
    <t>ORD-0124</t>
  </si>
  <si>
    <t>CUST-1098</t>
  </si>
  <si>
    <t>ORD-0125</t>
  </si>
  <si>
    <t>CUST-1197</t>
  </si>
  <si>
    <t>ORD-0126</t>
  </si>
  <si>
    <t>CUST-1081</t>
  </si>
  <si>
    <t>ORD-0127</t>
  </si>
  <si>
    <t>CUST-1111</t>
  </si>
  <si>
    <t>ORD-0128</t>
  </si>
  <si>
    <t>CUST-1091</t>
  </si>
  <si>
    <t>ORD-0129</t>
  </si>
  <si>
    <t>CUST-1058</t>
  </si>
  <si>
    <t>ORD-0130</t>
  </si>
  <si>
    <t>ORD-0131</t>
  </si>
  <si>
    <t>ORD-0132</t>
  </si>
  <si>
    <t>ORD-0133</t>
  </si>
  <si>
    <t>CUST-1146</t>
  </si>
  <si>
    <t>ORD-0134</t>
  </si>
  <si>
    <t>CUST-1156</t>
  </si>
  <si>
    <t>ORD-0135</t>
  </si>
  <si>
    <t>ORD-0136</t>
  </si>
  <si>
    <t>ORD-0137</t>
  </si>
  <si>
    <t>ORD-0138</t>
  </si>
  <si>
    <t>ORD-0139</t>
  </si>
  <si>
    <t>ORD-0140</t>
  </si>
  <si>
    <t>CUST-1087</t>
  </si>
  <si>
    <t>ORD-0141</t>
  </si>
  <si>
    <t>CUST-1246</t>
  </si>
  <si>
    <t>ORD-0142</t>
  </si>
  <si>
    <t>CUST-1198</t>
  </si>
  <si>
    <t>ORD-0143</t>
  </si>
  <si>
    <t>CUST-1222</t>
  </si>
  <si>
    <t>ORD-0144</t>
  </si>
  <si>
    <t>CUST-1080</t>
  </si>
  <si>
    <t>ORD-0145</t>
  </si>
  <si>
    <t>ORD-0146</t>
  </si>
  <si>
    <t>ORD-0147</t>
  </si>
  <si>
    <t>ORD-0148</t>
  </si>
  <si>
    <t>CUST-1100</t>
  </si>
  <si>
    <t>ORD-0149</t>
  </si>
  <si>
    <t>CUST-1073</t>
  </si>
  <si>
    <t>ORD-0150</t>
  </si>
  <si>
    <t>ORD-0151</t>
  </si>
  <si>
    <t>ORD-0152</t>
  </si>
  <si>
    <t>ORD-0153</t>
  </si>
  <si>
    <t>ORD-0154</t>
  </si>
  <si>
    <t>ORD-0155</t>
  </si>
  <si>
    <t>CUST-1201</t>
  </si>
  <si>
    <t>ORD-0156</t>
  </si>
  <si>
    <t>ORD-0157</t>
  </si>
  <si>
    <t>CUST-1224</t>
  </si>
  <si>
    <t>ORD-0158</t>
  </si>
  <si>
    <t>ORD-0159</t>
  </si>
  <si>
    <t>CUST-1090</t>
  </si>
  <si>
    <t>ORD-0160</t>
  </si>
  <si>
    <t>ORD-0161</t>
  </si>
  <si>
    <t>CUST-1158</t>
  </si>
  <si>
    <t>ORD-0162</t>
  </si>
  <si>
    <t>ORD-0163</t>
  </si>
  <si>
    <t>CUST-1153</t>
  </si>
  <si>
    <t>ORD-0164</t>
  </si>
  <si>
    <t>CUST-1107</t>
  </si>
  <si>
    <t>ORD-0165</t>
  </si>
  <si>
    <t>CUST-1142</t>
  </si>
  <si>
    <t>ORD-0166</t>
  </si>
  <si>
    <t>ORD-0167</t>
  </si>
  <si>
    <t>CUST-1179</t>
  </si>
  <si>
    <t>ORD-0168</t>
  </si>
  <si>
    <t>CUST-1052</t>
  </si>
  <si>
    <t>ORD-0169</t>
  </si>
  <si>
    <t>CUST-1092</t>
  </si>
  <si>
    <t>ORD-0170</t>
  </si>
  <si>
    <t>ORD-0171</t>
  </si>
  <si>
    <t>CUST-1155</t>
  </si>
  <si>
    <t>ORD-0172</t>
  </si>
  <si>
    <t>ORD-0173</t>
  </si>
  <si>
    <t>CUST-1243</t>
  </si>
  <si>
    <t>ORD-0174</t>
  </si>
  <si>
    <t>ORD-0175</t>
  </si>
  <si>
    <t>ORD-0176</t>
  </si>
  <si>
    <t>ORD-0177</t>
  </si>
  <si>
    <t>CUST-1157</t>
  </si>
  <si>
    <t>ORD-0178</t>
  </si>
  <si>
    <t>CUST-1208</t>
  </si>
  <si>
    <t>ORD-0179</t>
  </si>
  <si>
    <t>ORD-0180</t>
  </si>
  <si>
    <t>ORD-0181</t>
  </si>
  <si>
    <t>CUST-1106</t>
  </si>
  <si>
    <t>ORD-0182</t>
  </si>
  <si>
    <t>ORD-0183</t>
  </si>
  <si>
    <t>CUST-1040</t>
  </si>
  <si>
    <t>ORD-0184</t>
  </si>
  <si>
    <t>CUST-1065</t>
  </si>
  <si>
    <t>ORD-0185</t>
  </si>
  <si>
    <t>CUST-1149</t>
  </si>
  <si>
    <t>ORD-0186</t>
  </si>
  <si>
    <t>CUST-1021</t>
  </si>
  <si>
    <t>ORD-0187</t>
  </si>
  <si>
    <t>ORD-0188</t>
  </si>
  <si>
    <t>ORD-0189</t>
  </si>
  <si>
    <t>CUST-1250</t>
  </si>
  <si>
    <t>ORD-0190</t>
  </si>
  <si>
    <t>CUST-1013</t>
  </si>
  <si>
    <t>ORD-0191</t>
  </si>
  <si>
    <t>ORD-0192</t>
  </si>
  <si>
    <t>ORD-0193</t>
  </si>
  <si>
    <t>CUST-1003</t>
  </si>
  <si>
    <t>ORD-0194</t>
  </si>
  <si>
    <t>ORD-0195</t>
  </si>
  <si>
    <t>ORD-0196</t>
  </si>
  <si>
    <t>CUST-1103</t>
  </si>
  <si>
    <t>ORD-0197</t>
  </si>
  <si>
    <t>ORD-0198</t>
  </si>
  <si>
    <t>ORD-0199</t>
  </si>
  <si>
    <t>ORD-0200</t>
  </si>
  <si>
    <t>ORD-0201</t>
  </si>
  <si>
    <t>ORD-0202</t>
  </si>
  <si>
    <t>ORD-0203</t>
  </si>
  <si>
    <t>ORD-0204</t>
  </si>
  <si>
    <t>ORD-0205</t>
  </si>
  <si>
    <t>ORD-0206</t>
  </si>
  <si>
    <t>ORD-0207</t>
  </si>
  <si>
    <t>ORD-0208</t>
  </si>
  <si>
    <t>ORD-0209</t>
  </si>
  <si>
    <t>CUST-1247</t>
  </si>
  <si>
    <t>ORD-0210</t>
  </si>
  <si>
    <t>ORD-0211</t>
  </si>
  <si>
    <t>CUST-1226</t>
  </si>
  <si>
    <t>ORD-0212</t>
  </si>
  <si>
    <t>ORD-0213</t>
  </si>
  <si>
    <t>CUST-1035</t>
  </si>
  <si>
    <t>ORD-0214</t>
  </si>
  <si>
    <t>CUST-1189</t>
  </si>
  <si>
    <t>ORD-0215</t>
  </si>
  <si>
    <t>ORD-0216</t>
  </si>
  <si>
    <t>CUST-1115</t>
  </si>
  <si>
    <t>ORD-0217</t>
  </si>
  <si>
    <t>ORD-0218</t>
  </si>
  <si>
    <t>CUST-1241</t>
  </si>
  <si>
    <t>ORD-0219</t>
  </si>
  <si>
    <t>ORD-0220</t>
  </si>
  <si>
    <t>ORD-0221</t>
  </si>
  <si>
    <t>ORD-0222</t>
  </si>
  <si>
    <t>ORD-0223</t>
  </si>
  <si>
    <t>ORD-0224</t>
  </si>
  <si>
    <t>ORD-0225</t>
  </si>
  <si>
    <t>ORD-0226</t>
  </si>
  <si>
    <t>ORD-0227</t>
  </si>
  <si>
    <t>CUST-1185</t>
  </si>
  <si>
    <t>ORD-0228</t>
  </si>
  <si>
    <t>CUST-1196</t>
  </si>
  <si>
    <t>ORD-0229</t>
  </si>
  <si>
    <t>CUST-1009</t>
  </si>
  <si>
    <t>ORD-0230</t>
  </si>
  <si>
    <t>ORD-0231</t>
  </si>
  <si>
    <t>ORD-0232</t>
  </si>
  <si>
    <t>CUST-1152</t>
  </si>
  <si>
    <t>ORD-0233</t>
  </si>
  <si>
    <t>CUST-1082</t>
  </si>
  <si>
    <t>ORD-0234</t>
  </si>
  <si>
    <t>CUST-1037</t>
  </si>
  <si>
    <t>ORD-0235</t>
  </si>
  <si>
    <t>ORD-0236</t>
  </si>
  <si>
    <t>CUST-1019</t>
  </si>
  <si>
    <t>ORD-0237</t>
  </si>
  <si>
    <t>CUST-1240</t>
  </si>
  <si>
    <t>ORD-0238</t>
  </si>
  <si>
    <t>ORD-0239</t>
  </si>
  <si>
    <t>ORD-0240</t>
  </si>
  <si>
    <t>ORD-0241</t>
  </si>
  <si>
    <t>ORD-0242</t>
  </si>
  <si>
    <t>ORD-0243</t>
  </si>
  <si>
    <t>ORD-0244</t>
  </si>
  <si>
    <t>ORD-0245</t>
  </si>
  <si>
    <t>CUST-1005</t>
  </si>
  <si>
    <t>ORD-0246</t>
  </si>
  <si>
    <t>ORD-0247</t>
  </si>
  <si>
    <t>CUST-1096</t>
  </si>
  <si>
    <t>ORD-0248</t>
  </si>
  <si>
    <t>ORD-0249</t>
  </si>
  <si>
    <t>CUST-1112</t>
  </si>
  <si>
    <t>ORD-0250</t>
  </si>
  <si>
    <t>CUST-1070</t>
  </si>
  <si>
    <t>ORD-0251</t>
  </si>
  <si>
    <t>ORD-0252</t>
  </si>
  <si>
    <t>ORD-0253</t>
  </si>
  <si>
    <t>ORD-0254</t>
  </si>
  <si>
    <t>ORD-0255</t>
  </si>
  <si>
    <t>ORD-0256</t>
  </si>
  <si>
    <t>ORD-0257</t>
  </si>
  <si>
    <t>ORD-0258</t>
  </si>
  <si>
    <t>CUST-1154</t>
  </si>
  <si>
    <t>ORD-0259</t>
  </si>
  <si>
    <t>ORD-0260</t>
  </si>
  <si>
    <t>CUST-1108</t>
  </si>
  <si>
    <t>ORD-0261</t>
  </si>
  <si>
    <t>ORD-0262</t>
  </si>
  <si>
    <t>CUST-1221</t>
  </si>
  <si>
    <t>ORD-0263</t>
  </si>
  <si>
    <t>ORD-0264</t>
  </si>
  <si>
    <t>ORD-0265</t>
  </si>
  <si>
    <t>ORD-0266</t>
  </si>
  <si>
    <t>ORD-0267</t>
  </si>
  <si>
    <t>CUST-1093</t>
  </si>
  <si>
    <t>ORD-0268</t>
  </si>
  <si>
    <t>CUST-1145</t>
  </si>
  <si>
    <t>ORD-0269</t>
  </si>
  <si>
    <t>CUST-1057</t>
  </si>
  <si>
    <t>ORD-0270</t>
  </si>
  <si>
    <t>CUST-1076</t>
  </si>
  <si>
    <t>ORD-0271</t>
  </si>
  <si>
    <t>ORD-0272</t>
  </si>
  <si>
    <t>ORD-0273</t>
  </si>
  <si>
    <t>ORD-0274</t>
  </si>
  <si>
    <t>ORD-0275</t>
  </si>
  <si>
    <t>ORD-0276</t>
  </si>
  <si>
    <t>ORD-0277</t>
  </si>
  <si>
    <t>ORD-0278</t>
  </si>
  <si>
    <t>ORD-0279</t>
  </si>
  <si>
    <t>CUST-1045</t>
  </si>
  <si>
    <t>ORD-0280</t>
  </si>
  <si>
    <t>ORD-0281</t>
  </si>
  <si>
    <t>ORD-0282</t>
  </si>
  <si>
    <t>ORD-0283</t>
  </si>
  <si>
    <t>ORD-0284</t>
  </si>
  <si>
    <t>ORD-0285</t>
  </si>
  <si>
    <t>ORD-0286</t>
  </si>
  <si>
    <t>CUST-1207</t>
  </si>
  <si>
    <t>ORD-0287</t>
  </si>
  <si>
    <t>CUST-1244</t>
  </si>
  <si>
    <t>ORD-0288</t>
  </si>
  <si>
    <t>ORD-0289</t>
  </si>
  <si>
    <t>CUST-1069</t>
  </si>
  <si>
    <t>ORD-0290</t>
  </si>
  <si>
    <t>CUST-1225</t>
  </si>
  <si>
    <t>ORD-0291</t>
  </si>
  <si>
    <t>ORD-0292</t>
  </si>
  <si>
    <t>ORD-0293</t>
  </si>
  <si>
    <t>CUST-1215</t>
  </si>
  <si>
    <t>ORD-0294</t>
  </si>
  <si>
    <t>ORD-0295</t>
  </si>
  <si>
    <t>ORD-0296</t>
  </si>
  <si>
    <t>ORD-0297</t>
  </si>
  <si>
    <t>ORD-0298</t>
  </si>
  <si>
    <t>ORD-0299</t>
  </si>
  <si>
    <t>ORD-0300</t>
  </si>
  <si>
    <t>CUST-1032</t>
  </si>
  <si>
    <t>ORD-0301</t>
  </si>
  <si>
    <t>ORD-0302</t>
  </si>
  <si>
    <t>ORD-0303</t>
  </si>
  <si>
    <t>CUST-1128</t>
  </si>
  <si>
    <t>ORD-0304</t>
  </si>
  <si>
    <t>ORD-0305</t>
  </si>
  <si>
    <t>CUST-1056</t>
  </si>
  <si>
    <t>ORD-0306</t>
  </si>
  <si>
    <t>ORD-0307</t>
  </si>
  <si>
    <t>CUST-1101</t>
  </si>
  <si>
    <t>ORD-0308</t>
  </si>
  <si>
    <t>ORD-0309</t>
  </si>
  <si>
    <t>ORD-0310</t>
  </si>
  <si>
    <t>CUST-1200</t>
  </si>
  <si>
    <t>ORD-0311</t>
  </si>
  <si>
    <t>CUST-1148</t>
  </si>
  <si>
    <t>ORD-0312</t>
  </si>
  <si>
    <t>ORD-0313</t>
  </si>
  <si>
    <t>CUST-1099</t>
  </si>
  <si>
    <t>ORD-0314</t>
  </si>
  <si>
    <t>ORD-0315</t>
  </si>
  <si>
    <t>ORD-0316</t>
  </si>
  <si>
    <t>ORD-0317</t>
  </si>
  <si>
    <t>ORD-0318</t>
  </si>
  <si>
    <t>ORD-0319</t>
  </si>
  <si>
    <t>ORD-0320</t>
  </si>
  <si>
    <t>ORD-0321</t>
  </si>
  <si>
    <t>ORD-0322</t>
  </si>
  <si>
    <t>ORD-0323</t>
  </si>
  <si>
    <t>ORD-0324</t>
  </si>
  <si>
    <t>ORD-0325</t>
  </si>
  <si>
    <t>ORD-0326</t>
  </si>
  <si>
    <t>CUST-1206</t>
  </si>
  <si>
    <t>ORD-0327</t>
  </si>
  <si>
    <t>ORD-0328</t>
  </si>
  <si>
    <t>ORD-0329</t>
  </si>
  <si>
    <t>ORD-0330</t>
  </si>
  <si>
    <t>ORD-0331</t>
  </si>
  <si>
    <t>ORD-0332</t>
  </si>
  <si>
    <t>ORD-0333</t>
  </si>
  <si>
    <t>ORD-0334</t>
  </si>
  <si>
    <t>ORD-0335</t>
  </si>
  <si>
    <t>ORD-0336</t>
  </si>
  <si>
    <t>ORD-0337</t>
  </si>
  <si>
    <t>ORD-0338</t>
  </si>
  <si>
    <t>ORD-0339</t>
  </si>
  <si>
    <t>ORD-0340</t>
  </si>
  <si>
    <t>ORD-0341</t>
  </si>
  <si>
    <t>CUST-1238</t>
  </si>
  <si>
    <t>ORD-0342</t>
  </si>
  <si>
    <t>CUST-1001</t>
  </si>
  <si>
    <t>ORD-0343</t>
  </si>
  <si>
    <t>ORD-0344</t>
  </si>
  <si>
    <t>CUST-1182</t>
  </si>
  <si>
    <t>ORD-0345</t>
  </si>
  <si>
    <t>ORD-0346</t>
  </si>
  <si>
    <t>ORD-0347</t>
  </si>
  <si>
    <t>CUST-1027</t>
  </si>
  <si>
    <t>ORD-0348</t>
  </si>
  <si>
    <t>ORD-0349</t>
  </si>
  <si>
    <t>ORD-0350</t>
  </si>
  <si>
    <t>ORD-0351</t>
  </si>
  <si>
    <t>ORD-0352</t>
  </si>
  <si>
    <t>ORD-0353</t>
  </si>
  <si>
    <t>ORD-0354</t>
  </si>
  <si>
    <t>ORD-0355</t>
  </si>
  <si>
    <t>ORD-0356</t>
  </si>
  <si>
    <t>ORD-0357</t>
  </si>
  <si>
    <t>CUST-1011</t>
  </si>
  <si>
    <t>ORD-0358</t>
  </si>
  <si>
    <t>CUST-1235</t>
  </si>
  <si>
    <t>ORD-0359</t>
  </si>
  <si>
    <t>ORD-0360</t>
  </si>
  <si>
    <t>ORD-0361</t>
  </si>
  <si>
    <t>ORD-0362</t>
  </si>
  <si>
    <t>ORD-0363</t>
  </si>
  <si>
    <t>ORD-0364</t>
  </si>
  <si>
    <t>ORD-0365</t>
  </si>
  <si>
    <t>CUST-1133</t>
  </si>
  <si>
    <t>ORD-0366</t>
  </si>
  <si>
    <t>ORD-0367</t>
  </si>
  <si>
    <t>ORD-0368</t>
  </si>
  <si>
    <t>ORD-0369</t>
  </si>
  <si>
    <t>ORD-0370</t>
  </si>
  <si>
    <t>CUST-1132</t>
  </si>
  <si>
    <t>ORD-0371</t>
  </si>
  <si>
    <t>ORD-0372</t>
  </si>
  <si>
    <t>ORD-0373</t>
  </si>
  <si>
    <t>ORD-0374</t>
  </si>
  <si>
    <t>ORD-0375</t>
  </si>
  <si>
    <t>ORD-0376</t>
  </si>
  <si>
    <t>ORD-0377</t>
  </si>
  <si>
    <t>ORD-0378</t>
  </si>
  <si>
    <t>ORD-0379</t>
  </si>
  <si>
    <t>ORD-0380</t>
  </si>
  <si>
    <t>ORD-0381</t>
  </si>
  <si>
    <t>ORD-0382</t>
  </si>
  <si>
    <t>ORD-0383</t>
  </si>
  <si>
    <t>ORD-0384</t>
  </si>
  <si>
    <t>CUST-1188</t>
  </si>
  <si>
    <t>ORD-0385</t>
  </si>
  <si>
    <t>ORD-0386</t>
  </si>
  <si>
    <t>ORD-0387</t>
  </si>
  <si>
    <t>ORD-0388</t>
  </si>
  <si>
    <t>CUST-1094</t>
  </si>
  <si>
    <t>ORD-0389</t>
  </si>
  <si>
    <t>ORD-0390</t>
  </si>
  <si>
    <t>CUST-1162</t>
  </si>
  <si>
    <t>ORD-0391</t>
  </si>
  <si>
    <t>ORD-0392</t>
  </si>
  <si>
    <t>ORD-0393</t>
  </si>
  <si>
    <t>CUST-1061</t>
  </si>
  <si>
    <t>ORD-0394</t>
  </si>
  <si>
    <t>CUST-1020</t>
  </si>
  <si>
    <t>ORD-0395</t>
  </si>
  <si>
    <t>ORD-0396</t>
  </si>
  <si>
    <t>ORD-0397</t>
  </si>
  <si>
    <t>ORD-0398</t>
  </si>
  <si>
    <t>CUST-1029</t>
  </si>
  <si>
    <t>ORD-0399</t>
  </si>
  <si>
    <t>ORD-0400</t>
  </si>
  <si>
    <t>ORD-0401</t>
  </si>
  <si>
    <t>CUST-1191</t>
  </si>
  <si>
    <t>ORD-0402</t>
  </si>
  <si>
    <t>ORD-0403</t>
  </si>
  <si>
    <t>ORD-0404</t>
  </si>
  <si>
    <t>ORD-0405</t>
  </si>
  <si>
    <t>CUST-1220</t>
  </si>
  <si>
    <t>ORD-0406</t>
  </si>
  <si>
    <t>ORD-0407</t>
  </si>
  <si>
    <t>CUST-1212</t>
  </si>
  <si>
    <t>ORD-0408</t>
  </si>
  <si>
    <t>CUST-1025</t>
  </si>
  <si>
    <t>ORD-0409</t>
  </si>
  <si>
    <t>ORD-0410</t>
  </si>
  <si>
    <t>CUST-1219</t>
  </si>
  <si>
    <t>ORD-0411</t>
  </si>
  <si>
    <t>ORD-0412</t>
  </si>
  <si>
    <t>ORD-0413</t>
  </si>
  <si>
    <t>ORD-0414</t>
  </si>
  <si>
    <t>CUST-1064</t>
  </si>
  <si>
    <t>ORD-0415</t>
  </si>
  <si>
    <t>ORD-0416</t>
  </si>
  <si>
    <t>ORD-0417</t>
  </si>
  <si>
    <t>CUST-1144</t>
  </si>
  <si>
    <t>ORD-0418</t>
  </si>
  <si>
    <t>ORD-0419</t>
  </si>
  <si>
    <t>ORD-0420</t>
  </si>
  <si>
    <t>ORD-0421</t>
  </si>
  <si>
    <t>ORD-0422</t>
  </si>
  <si>
    <t>ORD-0423</t>
  </si>
  <si>
    <t>ORD-0424</t>
  </si>
  <si>
    <t>ORD-0425</t>
  </si>
  <si>
    <t>ORD-0426</t>
  </si>
  <si>
    <t>ORD-0427</t>
  </si>
  <si>
    <t>ORD-0428</t>
  </si>
  <si>
    <t>ORD-0429</t>
  </si>
  <si>
    <t>ORD-0430</t>
  </si>
  <si>
    <t>ORD-0431</t>
  </si>
  <si>
    <t>CUST-1245</t>
  </si>
  <si>
    <t>ORD-0432</t>
  </si>
  <si>
    <t>ORD-0433</t>
  </si>
  <si>
    <t>ORD-0434</t>
  </si>
  <si>
    <t>ORD-0435</t>
  </si>
  <si>
    <t>CUST-1150</t>
  </si>
  <si>
    <t>ORD-0436</t>
  </si>
  <si>
    <t>ORD-0437</t>
  </si>
  <si>
    <t>CUST-1218</t>
  </si>
  <si>
    <t>ORD-0438</t>
  </si>
  <si>
    <t>ORD-0439</t>
  </si>
  <si>
    <t>CUST-1054</t>
  </si>
  <si>
    <t>ORD-0440</t>
  </si>
  <si>
    <t>ORD-0441</t>
  </si>
  <si>
    <t>ORD-0442</t>
  </si>
  <si>
    <t>ORD-0443</t>
  </si>
  <si>
    <t>ORD-0444</t>
  </si>
  <si>
    <t>ORD-0445</t>
  </si>
  <si>
    <t>ORD-0446</t>
  </si>
  <si>
    <t>ORD-0447</t>
  </si>
  <si>
    <t>ORD-0448</t>
  </si>
  <si>
    <t>ORD-0449</t>
  </si>
  <si>
    <t>ORD-0450</t>
  </si>
  <si>
    <t>ORD-0451</t>
  </si>
  <si>
    <t>ORD-0452</t>
  </si>
  <si>
    <t>CUST-1068</t>
  </si>
  <si>
    <t>ORD-0453</t>
  </si>
  <si>
    <t>CUST-1097</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</si>
  <si>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</si>
  <si>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</si>
  <si>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</si>
  <si>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</si>
  <si>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</si>
  <si>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</si>
  <si>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</si>
  <si>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</si>
  <si>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</si>
  <si>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</si>
  <si>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</si>
  <si>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</si>
  <si>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</si>
  <si>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</si>
  <si>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</si>
  <si>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</si>
  <si>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</si>
  <si>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</si>
  <si>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</si>
  <si>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</si>
  <si>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</si>
  <si>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</si>
  <si>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</si>
  <si>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</si>
  <si>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</si>
  <si>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</si>
  <si>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</si>
  <si>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</si>
  <si>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</si>
  <si>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</si>
  <si>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</si>
  <si>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</si>
  <si>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</si>
  <si>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</si>
  <si>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CUST-1193</t>
  </si>
  <si>
    <t>ORD-0488</t>
  </si>
  <si>
    <t>ORD-0489</t>
  </si>
  <si>
    <t>ORD-0490</t>
  </si>
  <si>
    <t>ORD-0491</t>
  </si>
  <si>
    <t>ORD-0492</t>
  </si>
  <si>
    <t>ORD-0493</t>
  </si>
  <si>
    <t>ORD-0494</t>
  </si>
  <si>
    <t>ORD-0495</t>
  </si>
  <si>
    <t>ORD-0496</t>
  </si>
  <si>
    <t>ORD-0497</t>
  </si>
  <si>
    <t>ORD-0498</t>
  </si>
  <si>
    <t>ORD-0499</t>
  </si>
  <si>
    <t>ORD-0500</t>
  </si>
  <si>
    <t>Row Labels</t>
  </si>
  <si>
    <t>Grand Total</t>
  </si>
  <si>
    <t>Sum of Sales</t>
  </si>
  <si>
    <t>Jan</t>
  </si>
  <si>
    <t>Feb</t>
  </si>
  <si>
    <t>Mar</t>
  </si>
  <si>
    <t>Apr</t>
  </si>
  <si>
    <t>May</t>
  </si>
  <si>
    <t>Jun</t>
  </si>
  <si>
    <t>Jul</t>
  </si>
  <si>
    <t>Aug</t>
  </si>
  <si>
    <t>Sep</t>
  </si>
  <si>
    <t>Oct</t>
  </si>
  <si>
    <t>Nov</t>
  </si>
  <si>
    <t>Dec</t>
  </si>
  <si>
    <t>Change</t>
  </si>
  <si>
    <t>Aug-Sep=(1,024,630,000)</t>
  </si>
  <si>
    <t>Column Labels</t>
  </si>
  <si>
    <t>Month</t>
  </si>
  <si>
    <t>Aug-Sep</t>
  </si>
  <si>
    <t>***</t>
  </si>
  <si>
    <t>****</t>
  </si>
  <si>
    <t>Sum of Quantity</t>
  </si>
  <si>
    <t>Customer type</t>
  </si>
  <si>
    <t>Count of Customer ID</t>
  </si>
  <si>
    <t>Sum of Profit</t>
  </si>
  <si>
    <t>(All)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</si>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</sst>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dd\-mmm\-yyyy"/>
    <numFmt numFmtId="165" formatCode="&quot;₦&quot;#,##0"/>
    <numFmt numFmtId="166" formatCode="_(* #,##0_);_(* \(#,##0\);_(* &quot;-&quot;??_);_(@_)"/>
    <numFmt numFmtId="167" formatCode="[$₦-46A]#,##0"/>
    <numFmt numFmtId="168" formatCode="[$₦-46A]#,##0;\-[$₦-46A]#,##0"/>
    <numFmt numFmtId="169" formatCode="[$₦-46A]#,##0.0"/>
  </numFmts>
  <fonts count="6">
    <font>
      <sz val="11"/>
      <color theme="1"/>
      <name val="Calibri"/>
      <family val="2"/>
      <scheme val="minor"/>
    </font>
    <font>
      <sz val="11"/>
      <color theme="1"/>
      <name val="Calibri"/>
      <family val="2"/>
      <scheme val="minor"/>
    </font>
    <font>
      <sz val="11"/>
      <color indexed="8"/>
      <name val="Calibri"/>
      <charset val="134"/>
    </font>
    <font>
      <b/>
      <sz val="11"/>
      <color indexed="9"/>
      <name val="Calibri"/>
      <charset val="134"/>
    </font>
    <font>
      <sz val="14"/>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1F4E78"/>
        <bgColor indexed="64"/>
      </patternFill>
    </fill>
    <fill>
      <patternFill patternType="solid">
        <fgColor theme="4" tint="0.79998168889431442"/>
        <bgColor theme="4" tint="0.79998168889431442"/>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27">
    <xf numFmtId="0" fontId="0" fillId="0" borderId="0" xfId="0"/>
    <xf numFmtId="0" fontId="2" fillId="0" borderId="0" xfId="0" applyNumberFormat="1" applyFont="1" applyFill="1" applyBorder="1" applyAlignment="1" applyProtection="1"/>
    <xf numFmtId="0" fontId="3" fillId="2" borderId="0" xfId="0" applyNumberFormat="1" applyFont="1" applyFill="1" applyBorder="1" applyAlignment="1" applyProtection="1">
      <alignment horizontal="center"/>
    </xf>
    <xf numFmtId="164" fontId="2" fillId="0" borderId="0" xfId="0" applyNumberFormat="1" applyFont="1" applyFill="1" applyBorder="1" applyAlignment="1" applyProtection="1"/>
    <xf numFmtId="165" fontId="2" fillId="0" borderId="0" xfId="0" applyNumberFormat="1" applyFont="1" applyFill="1" applyBorder="1" applyAlignment="1" applyProtection="1"/>
    <xf numFmtId="0" fontId="0" fillId="0" borderId="0" xfId="0" pivotButton="1"/>
    <xf numFmtId="164" fontId="0" fillId="0" borderId="0" xfId="0" applyNumberFormat="1" applyAlignment="1">
      <alignment horizontal="left"/>
    </xf>
    <xf numFmtId="0" fontId="0" fillId="0" borderId="0" xfId="0" applyNumberFormat="1"/>
    <xf numFmtId="43" fontId="0" fillId="0" borderId="0" xfId="1" applyFont="1"/>
    <xf numFmtId="166" fontId="0" fillId="0" borderId="0" xfId="1" applyNumberFormat="1" applyFont="1"/>
    <xf numFmtId="0" fontId="0" fillId="0" borderId="0" xfId="0" applyAlignment="1">
      <alignment horizontal="left"/>
    </xf>
    <xf numFmtId="164" fontId="0" fillId="0" borderId="0" xfId="0" applyNumberFormat="1"/>
    <xf numFmtId="167" fontId="0" fillId="0" borderId="0" xfId="0" applyNumberFormat="1"/>
    <xf numFmtId="167" fontId="4"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8" fontId="0" fillId="0" borderId="0" xfId="0" applyNumberFormat="1"/>
    <xf numFmtId="169" fontId="0" fillId="0" borderId="0" xfId="0" applyNumberFormat="1" applyFont="1"/>
    <xf numFmtId="0" fontId="5" fillId="3" borderId="10" xfId="0" applyFont="1" applyFill="1" applyBorder="1"/>
    <xf numFmtId="9" fontId="0" fillId="0" borderId="0" xfId="0" applyNumberFormat="1"/>
  </cellXfs>
  <cellStyles count="2">
    <cellStyle name="Comma" xfId="1" builtinId="3"/>
    <cellStyle name="Normal" xfId="0" builtinId="0"/>
  </cellStyles>
  <dxfs count="6">
    <dxf>
      <numFmt numFmtId="167" formatCode="[$₦-46A]#,##0"/>
    </dxf>
    <dxf>
      <numFmt numFmtId="167" formatCode="[$₦-46A]#,##0"/>
    </dxf>
    <dxf>
      <numFmt numFmtId="167" formatCode="[$₦-46A]#,##0"/>
    </dxf>
    <dxf>
      <numFmt numFmtId="167" formatCode="[$₦-46A]#,##0"/>
    </dxf>
    <dxf>
      <numFmt numFmtId="167" formatCode="[$₦-46A]#,##0"/>
    </dxf>
    <dxf>
      <numFmt numFmtId="167" formatCode="[$₦-46A]#,##0"/>
    </dxf>
  </dxfs>
  <tableStyles count="0" defaultTableStyle="TableStyleMedium2" defaultPivotStyle="PivotStyleLight16"/>
  <colors>
    <mruColors>
      <color rgb="FF009644"/>
      <color rgb="FF007A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 3.xlsx]Pivottable!PivotTable9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7347649725602479"/>
          <c:y val="0.11513670166229219"/>
          <c:w val="0.78400880351285807"/>
          <c:h val="0.48688721201516477"/>
        </c:manualLayout>
      </c:layout>
      <c:barChart>
        <c:barDir val="col"/>
        <c:grouping val="clustered"/>
        <c:varyColors val="0"/>
        <c:ser>
          <c:idx val="0"/>
          <c:order val="0"/>
          <c:tx>
            <c:strRef>
              <c:f>Pivottable!$B$18:$B$19</c:f>
              <c:strCache>
                <c:ptCount val="1"/>
                <c:pt idx="0">
                  <c:v>Aug</c:v>
                </c:pt>
              </c:strCache>
            </c:strRef>
          </c:tx>
          <c:spPr>
            <a:solidFill>
              <a:schemeClr val="accent1"/>
            </a:solidFill>
            <a:ln>
              <a:noFill/>
            </a:ln>
            <a:effectLst/>
          </c:spPr>
          <c:invertIfNegative val="0"/>
          <c:cat>
            <c:strRef>
              <c:f>Pivottable!$A$20:$A$27</c:f>
              <c:strCache>
                <c:ptCount val="7"/>
                <c:pt idx="0">
                  <c:v>Hyundai Tucson</c:v>
                </c:pt>
                <c:pt idx="1">
                  <c:v>Kia Sportage</c:v>
                </c:pt>
                <c:pt idx="2">
                  <c:v>Lexus RX</c:v>
                </c:pt>
                <c:pt idx="3">
                  <c:v>Mercedes C-Class</c:v>
                </c:pt>
                <c:pt idx="4">
                  <c:v>Toyota Camry</c:v>
                </c:pt>
                <c:pt idx="5">
                  <c:v>Toyota Corolla</c:v>
                </c:pt>
                <c:pt idx="6">
                  <c:v>Toyota Highlander</c:v>
                </c:pt>
              </c:strCache>
            </c:strRef>
          </c:cat>
          <c:val>
            <c:numRef>
              <c:f>Pivottable!$B$20:$B$27</c:f>
              <c:numCache>
                <c:formatCode>General</c:formatCode>
                <c:ptCount val="7"/>
                <c:pt idx="0">
                  <c:v>48026000</c:v>
                </c:pt>
                <c:pt idx="1">
                  <c:v>64776000</c:v>
                </c:pt>
                <c:pt idx="2">
                  <c:v>100016000</c:v>
                </c:pt>
                <c:pt idx="3">
                  <c:v>62143000</c:v>
                </c:pt>
                <c:pt idx="4">
                  <c:v>27374000</c:v>
                </c:pt>
                <c:pt idx="5">
                  <c:v>53559000</c:v>
                </c:pt>
                <c:pt idx="6">
                  <c:v>137594000</c:v>
                </c:pt>
              </c:numCache>
            </c:numRef>
          </c:val>
        </c:ser>
        <c:ser>
          <c:idx val="1"/>
          <c:order val="1"/>
          <c:tx>
            <c:strRef>
              <c:f>Pivottable!$C$18:$C$19</c:f>
              <c:strCache>
                <c:ptCount val="1"/>
                <c:pt idx="0">
                  <c:v>Sep</c:v>
                </c:pt>
              </c:strCache>
            </c:strRef>
          </c:tx>
          <c:spPr>
            <a:solidFill>
              <a:schemeClr val="accent2"/>
            </a:solidFill>
            <a:ln>
              <a:noFill/>
            </a:ln>
            <a:effectLst/>
          </c:spPr>
          <c:invertIfNegative val="0"/>
          <c:cat>
            <c:strRef>
              <c:f>Pivottable!$A$20:$A$27</c:f>
              <c:strCache>
                <c:ptCount val="7"/>
                <c:pt idx="0">
                  <c:v>Hyundai Tucson</c:v>
                </c:pt>
                <c:pt idx="1">
                  <c:v>Kia Sportage</c:v>
                </c:pt>
                <c:pt idx="2">
                  <c:v>Lexus RX</c:v>
                </c:pt>
                <c:pt idx="3">
                  <c:v>Mercedes C-Class</c:v>
                </c:pt>
                <c:pt idx="4">
                  <c:v>Toyota Camry</c:v>
                </c:pt>
                <c:pt idx="5">
                  <c:v>Toyota Corolla</c:v>
                </c:pt>
                <c:pt idx="6">
                  <c:v>Toyota Highlander</c:v>
                </c:pt>
              </c:strCache>
            </c:strRef>
          </c:cat>
          <c:val>
            <c:numRef>
              <c:f>Pivottable!$C$20:$C$27</c:f>
              <c:numCache>
                <c:formatCode>General</c:formatCode>
                <c:ptCount val="7"/>
                <c:pt idx="1">
                  <c:v>21161000</c:v>
                </c:pt>
                <c:pt idx="3">
                  <c:v>58078000</c:v>
                </c:pt>
                <c:pt idx="4">
                  <c:v>28161000</c:v>
                </c:pt>
                <c:pt idx="5">
                  <c:v>72783000</c:v>
                </c:pt>
              </c:numCache>
            </c:numRef>
          </c:val>
        </c:ser>
        <c:dLbls>
          <c:showLegendKey val="0"/>
          <c:showVal val="0"/>
          <c:showCatName val="0"/>
          <c:showSerName val="0"/>
          <c:showPercent val="0"/>
          <c:showBubbleSize val="0"/>
        </c:dLbls>
        <c:gapWidth val="219"/>
        <c:overlap val="-27"/>
        <c:axId val="-1260060864"/>
        <c:axId val="-1260059776"/>
      </c:barChart>
      <c:catAx>
        <c:axId val="-1260060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59776"/>
        <c:crosses val="autoZero"/>
        <c:auto val="1"/>
        <c:lblAlgn val="ctr"/>
        <c:lblOffset val="100"/>
        <c:noMultiLvlLbl val="0"/>
      </c:catAx>
      <c:valAx>
        <c:axId val="-12600597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6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 3.xlsx]Pivottable!PivotTable1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a:sp3d/>
        </c:spPr>
        <c:marker>
          <c:symbol val="none"/>
        </c:marker>
      </c:pivotFmt>
      <c:pivotFmt>
        <c:idx val="25"/>
        <c:spPr>
          <a:solidFill>
            <a:schemeClr val="accent1"/>
          </a:solidFill>
          <a:ln>
            <a:noFill/>
          </a:ln>
          <a:effectLst/>
          <a:sp3d/>
        </c:spPr>
        <c:marker>
          <c:symbol val="none"/>
        </c:marker>
      </c:pivotFmt>
      <c:pivotFmt>
        <c:idx val="26"/>
        <c:spPr>
          <a:solidFill>
            <a:schemeClr val="accent1"/>
          </a:solidFill>
          <a:ln>
            <a:noFill/>
          </a:ln>
          <a:effectLst/>
          <a:sp3d/>
        </c:spPr>
        <c:marker>
          <c:symbol val="none"/>
        </c:marker>
      </c:pivotFmt>
      <c:pivotFmt>
        <c:idx val="27"/>
        <c:spPr>
          <a:solidFill>
            <a:schemeClr val="accent1"/>
          </a:solidFill>
          <a:ln>
            <a:noFill/>
          </a:ln>
          <a:effectLst/>
          <a:sp3d/>
        </c:spPr>
        <c:marker>
          <c:symbol val="none"/>
        </c:marker>
      </c:pivotFmt>
      <c:pivotFmt>
        <c:idx val="28"/>
        <c:spPr>
          <a:solidFill>
            <a:schemeClr val="accent1"/>
          </a:solidFill>
          <a:ln>
            <a:noFill/>
          </a:ln>
          <a:effectLst/>
          <a:sp3d/>
        </c:spPr>
        <c:marker>
          <c:symbol val="none"/>
        </c:marker>
      </c:pivotFmt>
      <c:pivotFmt>
        <c:idx val="29"/>
        <c:spPr>
          <a:solidFill>
            <a:schemeClr val="accent1"/>
          </a:solidFill>
          <a:ln>
            <a:noFill/>
          </a:ln>
          <a:effectLst/>
          <a:sp3d/>
        </c:spPr>
        <c:marker>
          <c:symbol val="none"/>
        </c:marker>
      </c:pivotFmt>
      <c:pivotFmt>
        <c:idx val="30"/>
        <c:spPr>
          <a:solidFill>
            <a:schemeClr val="accent1"/>
          </a:solidFill>
          <a:ln>
            <a:noFill/>
          </a:ln>
          <a:effectLst/>
          <a:sp3d/>
        </c:spPr>
        <c:marker>
          <c:symbol val="none"/>
        </c:marker>
      </c:pivotFmt>
      <c:pivotFmt>
        <c:idx val="31"/>
        <c:spPr>
          <a:solidFill>
            <a:schemeClr val="accent1"/>
          </a:solidFill>
          <a:ln>
            <a:noFill/>
          </a:ln>
          <a:effectLst/>
          <a:sp3d/>
        </c:spPr>
        <c:marker>
          <c:symbol val="none"/>
        </c:marker>
      </c:pivotFmt>
      <c:pivotFmt>
        <c:idx val="32"/>
        <c:spPr>
          <a:solidFill>
            <a:schemeClr val="accent1"/>
          </a:solidFill>
          <a:ln>
            <a:noFill/>
          </a:ln>
          <a:effectLst/>
          <a:sp3d/>
        </c:spPr>
        <c:marker>
          <c:symbol val="none"/>
        </c:marker>
      </c:pivotFmt>
      <c:pivotFmt>
        <c:idx val="33"/>
        <c:spPr>
          <a:solidFill>
            <a:schemeClr val="accent1"/>
          </a:solidFill>
          <a:ln>
            <a:noFill/>
          </a:ln>
          <a:effectLst/>
          <a:sp3d/>
        </c:spPr>
        <c:marker>
          <c:symbol val="none"/>
        </c:marker>
      </c:pivotFmt>
      <c:pivotFmt>
        <c:idx val="34"/>
        <c:spPr>
          <a:solidFill>
            <a:schemeClr val="accent1"/>
          </a:solidFill>
          <a:ln>
            <a:noFill/>
          </a:ln>
          <a:effectLst/>
          <a:sp3d/>
        </c:spPr>
        <c:marker>
          <c:symbol val="none"/>
        </c:marker>
      </c:pivotFmt>
      <c:pivotFmt>
        <c:idx val="35"/>
        <c:spPr>
          <a:solidFill>
            <a:schemeClr val="accent1"/>
          </a:solidFill>
          <a:ln>
            <a:noFill/>
          </a:ln>
          <a:effectLst/>
          <a:sp3d/>
        </c:spPr>
        <c:marker>
          <c:symbol val="none"/>
        </c:marker>
      </c:pivotFmt>
      <c:pivotFmt>
        <c:idx val="36"/>
        <c:spPr>
          <a:solidFill>
            <a:schemeClr val="accent1"/>
          </a:solidFill>
          <a:ln>
            <a:noFill/>
          </a:ln>
          <a:effectLst/>
          <a:sp3d/>
        </c:spPr>
        <c:marker>
          <c:symbol val="none"/>
        </c:marker>
      </c:pivotFmt>
      <c:pivotFmt>
        <c:idx val="37"/>
        <c:spPr>
          <a:solidFill>
            <a:schemeClr val="accent1"/>
          </a:solidFill>
          <a:ln>
            <a:noFill/>
          </a:ln>
          <a:effectLst/>
          <a:sp3d/>
        </c:spPr>
        <c:marker>
          <c:symbol val="none"/>
        </c:marker>
      </c:pivotFmt>
      <c:pivotFmt>
        <c:idx val="38"/>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08825014759335"/>
          <c:y val="0.32405985710119561"/>
          <c:w val="0.73460629921259846"/>
          <c:h val="0.59150335374744822"/>
        </c:manualLayout>
      </c:layout>
      <c:bar3DChart>
        <c:barDir val="col"/>
        <c:grouping val="standard"/>
        <c:varyColors val="0"/>
        <c:ser>
          <c:idx val="0"/>
          <c:order val="0"/>
          <c:tx>
            <c:strRef>
              <c:f>Pivottable!$B$79</c:f>
              <c:strCache>
                <c:ptCount val="1"/>
                <c:pt idx="0">
                  <c:v>Total</c:v>
                </c:pt>
              </c:strCache>
            </c:strRef>
          </c:tx>
          <c:spPr>
            <a:solidFill>
              <a:schemeClr val="accent1"/>
            </a:solidFill>
            <a:ln>
              <a:noFill/>
            </a:ln>
            <a:effectLst/>
            <a:sp3d/>
          </c:spPr>
          <c:invertIfNegative val="0"/>
          <c:cat>
            <c:strRef>
              <c:f>Pivottable!$A$80:$A$81</c:f>
              <c:strCache>
                <c:ptCount val="1"/>
                <c:pt idx="0">
                  <c:v>Rivers</c:v>
                </c:pt>
              </c:strCache>
            </c:strRef>
          </c:cat>
          <c:val>
            <c:numRef>
              <c:f>Pivottable!$B$80:$B$81</c:f>
              <c:numCache>
                <c:formatCode>General</c:formatCode>
                <c:ptCount val="1"/>
                <c:pt idx="0">
                  <c:v>4039591000</c:v>
                </c:pt>
              </c:numCache>
            </c:numRef>
          </c:val>
        </c:ser>
        <c:dLbls>
          <c:showLegendKey val="0"/>
          <c:showVal val="0"/>
          <c:showCatName val="0"/>
          <c:showSerName val="0"/>
          <c:showPercent val="0"/>
          <c:showBubbleSize val="0"/>
        </c:dLbls>
        <c:gapWidth val="150"/>
        <c:shape val="box"/>
        <c:axId val="-1260059232"/>
        <c:axId val="-1260060320"/>
        <c:axId val="-1010813568"/>
      </c:bar3DChart>
      <c:catAx>
        <c:axId val="-1260059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60320"/>
        <c:crosses val="autoZero"/>
        <c:auto val="1"/>
        <c:lblAlgn val="ctr"/>
        <c:lblOffset val="100"/>
        <c:noMultiLvlLbl val="0"/>
      </c:catAx>
      <c:valAx>
        <c:axId val="-126006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59232"/>
        <c:crosses val="autoZero"/>
        <c:crossBetween val="between"/>
      </c:valAx>
      <c:serAx>
        <c:axId val="-10108135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603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 3.xlsx]Pivottable!PivotTable5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Pivottable!$C$115</c:f>
              <c:strCache>
                <c:ptCount val="1"/>
                <c:pt idx="0">
                  <c:v>Total</c:v>
                </c:pt>
              </c:strCache>
            </c:strRef>
          </c:tx>
          <c:spPr>
            <a:solidFill>
              <a:schemeClr val="accent1"/>
            </a:solidFill>
            <a:ln>
              <a:noFill/>
            </a:ln>
            <a:effectLst/>
            <a:sp3d/>
          </c:spPr>
          <c:cat>
            <c:strRef>
              <c:f>Pivottable!$B$116:$B$128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Pivottable!$C$116:$C$128</c:f>
              <c:numCache>
                <c:formatCode>General</c:formatCode>
                <c:ptCount val="12"/>
                <c:pt idx="0">
                  <c:v>203719000</c:v>
                </c:pt>
                <c:pt idx="1">
                  <c:v>418146000</c:v>
                </c:pt>
                <c:pt idx="2">
                  <c:v>385459000</c:v>
                </c:pt>
                <c:pt idx="3">
                  <c:v>188181000</c:v>
                </c:pt>
                <c:pt idx="4">
                  <c:v>185803000</c:v>
                </c:pt>
                <c:pt idx="5">
                  <c:v>135566000</c:v>
                </c:pt>
                <c:pt idx="6">
                  <c:v>798248000</c:v>
                </c:pt>
                <c:pt idx="7">
                  <c:v>493488000</c:v>
                </c:pt>
                <c:pt idx="8">
                  <c:v>180183000</c:v>
                </c:pt>
                <c:pt idx="9">
                  <c:v>368636000</c:v>
                </c:pt>
                <c:pt idx="10">
                  <c:v>216664000</c:v>
                </c:pt>
                <c:pt idx="11">
                  <c:v>465498000</c:v>
                </c:pt>
              </c:numCache>
            </c:numRef>
          </c:val>
          <c:smooth val="0"/>
        </c:ser>
        <c:dLbls>
          <c:showLegendKey val="0"/>
          <c:showVal val="0"/>
          <c:showCatName val="0"/>
          <c:showSerName val="0"/>
          <c:showPercent val="0"/>
          <c:showBubbleSize val="0"/>
        </c:dLbls>
        <c:axId val="-1260056512"/>
        <c:axId val="-1260049440"/>
        <c:axId val="-1011137728"/>
      </c:line3DChart>
      <c:catAx>
        <c:axId val="-1260056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49440"/>
        <c:crosses val="autoZero"/>
        <c:auto val="1"/>
        <c:lblAlgn val="ctr"/>
        <c:lblOffset val="100"/>
        <c:noMultiLvlLbl val="0"/>
      </c:catAx>
      <c:valAx>
        <c:axId val="-126004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56512"/>
        <c:crosses val="autoZero"/>
        <c:crossBetween val="between"/>
      </c:valAx>
      <c:serAx>
        <c:axId val="-101113772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4944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 3.xlsx]Pivottable!PivotTable19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Pivottable!$H$53</c:f>
              <c:strCache>
                <c:ptCount val="1"/>
                <c:pt idx="0">
                  <c:v>Total</c:v>
                </c:pt>
              </c:strCache>
            </c:strRef>
          </c:tx>
          <c:spPr>
            <a:solidFill>
              <a:schemeClr val="accent1"/>
            </a:solidFill>
            <a:ln>
              <a:noFill/>
            </a:ln>
            <a:effectLst/>
            <a:sp3d/>
          </c:spPr>
          <c:invertIfNegative val="0"/>
          <c:cat>
            <c:strRef>
              <c:f>Pivottable!$G$54:$G$55</c:f>
              <c:strCache>
                <c:ptCount val="1"/>
                <c:pt idx="0">
                  <c:v>Rivers</c:v>
                </c:pt>
              </c:strCache>
            </c:strRef>
          </c:cat>
          <c:val>
            <c:numRef>
              <c:f>Pivottable!$H$54:$H$55</c:f>
              <c:numCache>
                <c:formatCode>General</c:formatCode>
                <c:ptCount val="1"/>
                <c:pt idx="0">
                  <c:v>4039591000</c:v>
                </c:pt>
              </c:numCache>
            </c:numRef>
          </c:val>
        </c:ser>
        <c:dLbls>
          <c:showLegendKey val="0"/>
          <c:showVal val="0"/>
          <c:showCatName val="0"/>
          <c:showSerName val="0"/>
          <c:showPercent val="0"/>
          <c:showBubbleSize val="0"/>
        </c:dLbls>
        <c:gapWidth val="150"/>
        <c:shape val="box"/>
        <c:axId val="-1260055424"/>
        <c:axId val="-1260057600"/>
        <c:axId val="0"/>
      </c:bar3DChart>
      <c:catAx>
        <c:axId val="-126005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57600"/>
        <c:crosses val="autoZero"/>
        <c:auto val="1"/>
        <c:lblAlgn val="ctr"/>
        <c:lblOffset val="100"/>
        <c:noMultiLvlLbl val="0"/>
      </c:catAx>
      <c:valAx>
        <c:axId val="-126005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5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 3.xlsx]Pivottable!PivotTable9</c:name>
    <c:fmtId val="4"/>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by Product</a:t>
            </a:r>
          </a:p>
        </c:rich>
      </c:tx>
      <c:layout/>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
        <c:idx val="6"/>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s>
    <c:plotArea>
      <c:layout/>
      <c:barChart>
        <c:barDir val="col"/>
        <c:grouping val="clustered"/>
        <c:varyColors val="0"/>
        <c:ser>
          <c:idx val="0"/>
          <c:order val="0"/>
          <c:tx>
            <c:strRef>
              <c:f>Pivottable!$B$18:$B$19</c:f>
              <c:strCache>
                <c:ptCount val="1"/>
                <c:pt idx="0">
                  <c:v>Aug</c:v>
                </c:pt>
              </c:strCache>
            </c:strRef>
          </c:tx>
          <c:spPr>
            <a:pattFill prst="narHorz">
              <a:fgClr>
                <a:schemeClr val="accent6">
                  <a:shade val="76000"/>
                </a:schemeClr>
              </a:fgClr>
              <a:bgClr>
                <a:schemeClr val="accent6">
                  <a:shade val="76000"/>
                  <a:lumMod val="20000"/>
                  <a:lumOff val="80000"/>
                </a:schemeClr>
              </a:bgClr>
            </a:pattFill>
            <a:ln>
              <a:noFill/>
            </a:ln>
            <a:effectLst>
              <a:innerShdw blurRad="114300">
                <a:schemeClr val="accent6">
                  <a:shade val="76000"/>
                </a:schemeClr>
              </a:innerShdw>
            </a:effectLst>
          </c:spPr>
          <c:invertIfNegative val="0"/>
          <c:cat>
            <c:strRef>
              <c:f>Pivottable!$A$20:$A$27</c:f>
              <c:strCache>
                <c:ptCount val="7"/>
                <c:pt idx="0">
                  <c:v>Hyundai Tucson</c:v>
                </c:pt>
                <c:pt idx="1">
                  <c:v>Kia Sportage</c:v>
                </c:pt>
                <c:pt idx="2">
                  <c:v>Lexus RX</c:v>
                </c:pt>
                <c:pt idx="3">
                  <c:v>Mercedes C-Class</c:v>
                </c:pt>
                <c:pt idx="4">
                  <c:v>Toyota Camry</c:v>
                </c:pt>
                <c:pt idx="5">
                  <c:v>Toyota Corolla</c:v>
                </c:pt>
                <c:pt idx="6">
                  <c:v>Toyota Highlander</c:v>
                </c:pt>
              </c:strCache>
            </c:strRef>
          </c:cat>
          <c:val>
            <c:numRef>
              <c:f>Pivottable!$B$20:$B$27</c:f>
              <c:numCache>
                <c:formatCode>General</c:formatCode>
                <c:ptCount val="7"/>
                <c:pt idx="0">
                  <c:v>48026000</c:v>
                </c:pt>
                <c:pt idx="1">
                  <c:v>64776000</c:v>
                </c:pt>
                <c:pt idx="2">
                  <c:v>100016000</c:v>
                </c:pt>
                <c:pt idx="3">
                  <c:v>62143000</c:v>
                </c:pt>
                <c:pt idx="4">
                  <c:v>27374000</c:v>
                </c:pt>
                <c:pt idx="5">
                  <c:v>53559000</c:v>
                </c:pt>
                <c:pt idx="6">
                  <c:v>137594000</c:v>
                </c:pt>
              </c:numCache>
            </c:numRef>
          </c:val>
        </c:ser>
        <c:ser>
          <c:idx val="1"/>
          <c:order val="1"/>
          <c:tx>
            <c:strRef>
              <c:f>Pivottable!$C$18:$C$19</c:f>
              <c:strCache>
                <c:ptCount val="1"/>
                <c:pt idx="0">
                  <c:v>Sep</c:v>
                </c:pt>
              </c:strCache>
            </c:strRef>
          </c:tx>
          <c:spPr>
            <a:pattFill prst="narHorz">
              <a:fgClr>
                <a:schemeClr val="accent6">
                  <a:tint val="77000"/>
                </a:schemeClr>
              </a:fgClr>
              <a:bgClr>
                <a:schemeClr val="accent6">
                  <a:tint val="77000"/>
                  <a:lumMod val="20000"/>
                  <a:lumOff val="80000"/>
                </a:schemeClr>
              </a:bgClr>
            </a:pattFill>
            <a:ln>
              <a:noFill/>
            </a:ln>
            <a:effectLst>
              <a:innerShdw blurRad="114300">
                <a:schemeClr val="accent6">
                  <a:tint val="77000"/>
                </a:schemeClr>
              </a:innerShdw>
            </a:effectLst>
          </c:spPr>
          <c:invertIfNegative val="0"/>
          <c:cat>
            <c:strRef>
              <c:f>Pivottable!$A$20:$A$27</c:f>
              <c:strCache>
                <c:ptCount val="7"/>
                <c:pt idx="0">
                  <c:v>Hyundai Tucson</c:v>
                </c:pt>
                <c:pt idx="1">
                  <c:v>Kia Sportage</c:v>
                </c:pt>
                <c:pt idx="2">
                  <c:v>Lexus RX</c:v>
                </c:pt>
                <c:pt idx="3">
                  <c:v>Mercedes C-Class</c:v>
                </c:pt>
                <c:pt idx="4">
                  <c:v>Toyota Camry</c:v>
                </c:pt>
                <c:pt idx="5">
                  <c:v>Toyota Corolla</c:v>
                </c:pt>
                <c:pt idx="6">
                  <c:v>Toyota Highlander</c:v>
                </c:pt>
              </c:strCache>
            </c:strRef>
          </c:cat>
          <c:val>
            <c:numRef>
              <c:f>Pivottable!$C$20:$C$27</c:f>
              <c:numCache>
                <c:formatCode>General</c:formatCode>
                <c:ptCount val="7"/>
                <c:pt idx="1">
                  <c:v>21161000</c:v>
                </c:pt>
                <c:pt idx="3">
                  <c:v>58078000</c:v>
                </c:pt>
                <c:pt idx="4">
                  <c:v>28161000</c:v>
                </c:pt>
                <c:pt idx="5">
                  <c:v>72783000</c:v>
                </c:pt>
              </c:numCache>
            </c:numRef>
          </c:val>
        </c:ser>
        <c:dLbls>
          <c:showLegendKey val="0"/>
          <c:showVal val="0"/>
          <c:showCatName val="0"/>
          <c:showSerName val="0"/>
          <c:showPercent val="0"/>
          <c:showBubbleSize val="0"/>
        </c:dLbls>
        <c:gapWidth val="164"/>
        <c:overlap val="-22"/>
        <c:axId val="-1260053248"/>
        <c:axId val="-1260057056"/>
      </c:barChart>
      <c:catAx>
        <c:axId val="-1260053248"/>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0057056"/>
        <c:crosses val="autoZero"/>
        <c:auto val="1"/>
        <c:lblAlgn val="ctr"/>
        <c:lblOffset val="100"/>
        <c:noMultiLvlLbl val="0"/>
      </c:catAx>
      <c:valAx>
        <c:axId val="-1260057056"/>
        <c:scaling>
          <c:orientation val="minMax"/>
        </c:scaling>
        <c:delete val="0"/>
        <c:axPos val="l"/>
        <c:numFmt formatCode="[&gt;=1000000000]#,##0.0,,,&quot;B&quot;;[&gt;=1000000]#,##0.0,,&quot;M&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0053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 3.xlsx]Pivottable!PivotTable5</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Montly Sales Trend</a:t>
            </a:r>
          </a:p>
        </c:rich>
      </c:tx>
      <c:layout>
        <c:manualLayout>
          <c:xMode val="edge"/>
          <c:yMode val="edge"/>
          <c:x val="0.32816630568993788"/>
          <c:y val="0.1782966784324373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6"/>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Pivottable!$C$115</c:f>
              <c:strCache>
                <c:ptCount val="1"/>
                <c:pt idx="0">
                  <c:v>Total</c:v>
                </c:pt>
              </c:strCache>
            </c:strRef>
          </c:tx>
          <c:spPr>
            <a:solidFill>
              <a:schemeClr val="accent6"/>
            </a:solidFill>
            <a:ln>
              <a:noFill/>
            </a:ln>
            <a:effectLst/>
            <a:sp3d/>
          </c:spPr>
          <c:cat>
            <c:strRef>
              <c:f>Pivottable!$B$116:$B$128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Pivottable!$C$116:$C$128</c:f>
              <c:numCache>
                <c:formatCode>General</c:formatCode>
                <c:ptCount val="12"/>
                <c:pt idx="0">
                  <c:v>203719000</c:v>
                </c:pt>
                <c:pt idx="1">
                  <c:v>418146000</c:v>
                </c:pt>
                <c:pt idx="2">
                  <c:v>385459000</c:v>
                </c:pt>
                <c:pt idx="3">
                  <c:v>188181000</c:v>
                </c:pt>
                <c:pt idx="4">
                  <c:v>185803000</c:v>
                </c:pt>
                <c:pt idx="5">
                  <c:v>135566000</c:v>
                </c:pt>
                <c:pt idx="6">
                  <c:v>798248000</c:v>
                </c:pt>
                <c:pt idx="7">
                  <c:v>493488000</c:v>
                </c:pt>
                <c:pt idx="8">
                  <c:v>180183000</c:v>
                </c:pt>
                <c:pt idx="9">
                  <c:v>368636000</c:v>
                </c:pt>
                <c:pt idx="10">
                  <c:v>216664000</c:v>
                </c:pt>
                <c:pt idx="11">
                  <c:v>465498000</c:v>
                </c:pt>
              </c:numCache>
            </c:numRef>
          </c:val>
          <c:smooth val="0"/>
        </c:ser>
        <c:dLbls>
          <c:showLegendKey val="0"/>
          <c:showVal val="0"/>
          <c:showCatName val="0"/>
          <c:showSerName val="0"/>
          <c:showPercent val="0"/>
          <c:showBubbleSize val="0"/>
        </c:dLbls>
        <c:axId val="-1260061952"/>
        <c:axId val="-1260051616"/>
        <c:axId val="-1009881008"/>
      </c:line3DChart>
      <c:catAx>
        <c:axId val="-1260061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0051616"/>
        <c:crosses val="autoZero"/>
        <c:auto val="1"/>
        <c:lblAlgn val="ctr"/>
        <c:lblOffset val="100"/>
        <c:noMultiLvlLbl val="0"/>
      </c:catAx>
      <c:valAx>
        <c:axId val="-1260051616"/>
        <c:scaling>
          <c:orientation val="minMax"/>
        </c:scaling>
        <c:delete val="0"/>
        <c:axPos val="l"/>
        <c:numFmt formatCode="[&gt;=1000000000]#,##0.0,,,&quot;B&quot;;[&gt;=1000000]#,##0.0,,&quot;M&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0061952"/>
        <c:crosses val="autoZero"/>
        <c:crossBetween val="between"/>
      </c:valAx>
      <c:serAx>
        <c:axId val="-100988100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0051616"/>
        <c:crosses val="autoZero"/>
      </c:serAx>
      <c:spPr>
        <a:noFill/>
        <a:ln>
          <a:noFill/>
        </a:ln>
        <a:effectLst/>
      </c:spPr>
    </c:plotArea>
    <c:plotVisOnly val="1"/>
    <c:dispBlanksAs val="gap"/>
    <c:showDLblsOverMax val="0"/>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 3.xlsx]Pivottable!PivotTable1</c:name>
    <c:fmtId val="2"/>
  </c:pivotSource>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r>
              <a:rPr lang="en-US">
                <a:solidFill>
                  <a:sysClr val="windowText" lastClr="000000"/>
                </a:solidFill>
              </a:rPr>
              <a:t>Sales by Region</a:t>
            </a:r>
          </a:p>
        </c:rich>
      </c:tx>
      <c:layout>
        <c:manualLayout>
          <c:xMode val="edge"/>
          <c:yMode val="edge"/>
          <c:x val="0.17561004810859562"/>
          <c:y val="1.388888888888888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81090818040602"/>
          <c:y val="0.14712744240303297"/>
          <c:w val="0.69183667143944128"/>
          <c:h val="0.65853091280256637"/>
        </c:manualLayout>
      </c:layout>
      <c:bar3DChart>
        <c:barDir val="col"/>
        <c:grouping val="stacked"/>
        <c:varyColors val="0"/>
        <c:ser>
          <c:idx val="0"/>
          <c:order val="0"/>
          <c:tx>
            <c:strRef>
              <c:f>Pivottable!$B$79</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Pivottable!$A$80:$A$81</c:f>
              <c:strCache>
                <c:ptCount val="1"/>
                <c:pt idx="0">
                  <c:v>Rivers</c:v>
                </c:pt>
              </c:strCache>
            </c:strRef>
          </c:cat>
          <c:val>
            <c:numRef>
              <c:f>Pivottable!$B$80:$B$81</c:f>
              <c:numCache>
                <c:formatCode>General</c:formatCode>
                <c:ptCount val="1"/>
                <c:pt idx="0">
                  <c:v>4039591000</c:v>
                </c:pt>
              </c:numCache>
            </c:numRef>
          </c:val>
        </c:ser>
        <c:dLbls>
          <c:showLegendKey val="0"/>
          <c:showVal val="0"/>
          <c:showCatName val="0"/>
          <c:showSerName val="0"/>
          <c:showPercent val="0"/>
          <c:showBubbleSize val="0"/>
        </c:dLbls>
        <c:gapWidth val="150"/>
        <c:shape val="box"/>
        <c:axId val="-1260051072"/>
        <c:axId val="-1260061408"/>
        <c:axId val="0"/>
      </c:bar3DChart>
      <c:catAx>
        <c:axId val="-126005107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0061408"/>
        <c:crosses val="autoZero"/>
        <c:auto val="1"/>
        <c:lblAlgn val="ctr"/>
        <c:lblOffset val="100"/>
        <c:noMultiLvlLbl val="0"/>
      </c:catAx>
      <c:valAx>
        <c:axId val="-1260061408"/>
        <c:scaling>
          <c:orientation val="minMax"/>
        </c:scaling>
        <c:delete val="0"/>
        <c:axPos val="l"/>
        <c:numFmt formatCode="[&gt;=1000000000]#,##0.0,,,&quot;B&quot;;[&gt;=1000000]#,##0.0,,&quot;M&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00510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809624</xdr:colOff>
      <xdr:row>79</xdr:row>
      <xdr:rowOff>142875</xdr:rowOff>
    </xdr:from>
    <xdr:to>
      <xdr:col>9</xdr:col>
      <xdr:colOff>161924</xdr:colOff>
      <xdr:row>84</xdr:row>
      <xdr:rowOff>114300</xdr:rowOff>
    </xdr:to>
    <mc:AlternateContent xmlns:mc="http://schemas.openxmlformats.org/markup-compatibility/2006" xmlns:tsle="http://schemas.microsoft.com/office/drawing/2012/timeslicer">
      <mc:Choice Requires="tsle">
        <xdr:graphicFrame macro="">
          <xdr:nvGraphicFramePr>
            <xdr:cNvPr id="2"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85924" y="15192375"/>
              <a:ext cx="59721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485775</xdr:colOff>
      <xdr:row>85</xdr:row>
      <xdr:rowOff>133351</xdr:rowOff>
    </xdr:from>
    <xdr:to>
      <xdr:col>4</xdr:col>
      <xdr:colOff>1160146</xdr:colOff>
      <xdr:row>91</xdr:row>
      <xdr:rowOff>161924</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47825" y="16373476"/>
              <a:ext cx="2760346" cy="1171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238124</xdr:colOff>
      <xdr:row>102</xdr:row>
      <xdr:rowOff>38100</xdr:rowOff>
    </xdr:from>
    <xdr:to>
      <xdr:col>13</xdr:col>
      <xdr:colOff>200025</xdr:colOff>
      <xdr:row>106</xdr:row>
      <xdr:rowOff>104775</xdr:rowOff>
    </xdr:to>
    <mc:AlternateContent xmlns:mc="http://schemas.openxmlformats.org/markup-compatibility/2006" xmlns:a14="http://schemas.microsoft.com/office/drawing/2010/main">
      <mc:Choice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276474" y="19469100"/>
              <a:ext cx="8686801" cy="828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419100</xdr:colOff>
      <xdr:row>41</xdr:row>
      <xdr:rowOff>166687</xdr:rowOff>
    </xdr:from>
    <xdr:to>
      <xdr:col>13</xdr:col>
      <xdr:colOff>666750</xdr:colOff>
      <xdr:row>56</xdr:row>
      <xdr:rowOff>52387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44</xdr:row>
      <xdr:rowOff>161925</xdr:rowOff>
    </xdr:from>
    <xdr:to>
      <xdr:col>14</xdr:col>
      <xdr:colOff>428625</xdr:colOff>
      <xdr:row>55</xdr:row>
      <xdr:rowOff>47625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134</xdr:row>
      <xdr:rowOff>100012</xdr:rowOff>
    </xdr:from>
    <xdr:to>
      <xdr:col>13</xdr:col>
      <xdr:colOff>9525</xdr:colOff>
      <xdr:row>148</xdr:row>
      <xdr:rowOff>176212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923925</xdr:colOff>
      <xdr:row>61</xdr:row>
      <xdr:rowOff>185737</xdr:rowOff>
    </xdr:from>
    <xdr:to>
      <xdr:col>9</xdr:col>
      <xdr:colOff>695325</xdr:colOff>
      <xdr:row>76</xdr:row>
      <xdr:rowOff>71437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28575</xdr:rowOff>
    </xdr:from>
    <xdr:to>
      <xdr:col>21</xdr:col>
      <xdr:colOff>95250</xdr:colOff>
      <xdr:row>29</xdr:row>
      <xdr:rowOff>114300</xdr:rowOff>
    </xdr:to>
    <xdr:sp macro="" textlink="">
      <xdr:nvSpPr>
        <xdr:cNvPr id="3" name="Rounded Rectangle 2"/>
        <xdr:cNvSpPr/>
      </xdr:nvSpPr>
      <xdr:spPr>
        <a:xfrm>
          <a:off x="123825" y="28575"/>
          <a:ext cx="12773025" cy="5610225"/>
        </a:xfrm>
        <a:prstGeom prst="roundRect">
          <a:avLst>
            <a:gd name="adj" fmla="val 4448"/>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161926</xdr:colOff>
      <xdr:row>0</xdr:row>
      <xdr:rowOff>28575</xdr:rowOff>
    </xdr:from>
    <xdr:to>
      <xdr:col>21</xdr:col>
      <xdr:colOff>38100</xdr:colOff>
      <xdr:row>29</xdr:row>
      <xdr:rowOff>66675</xdr:rowOff>
    </xdr:to>
    <xdr:sp macro="" textlink="">
      <xdr:nvSpPr>
        <xdr:cNvPr id="4" name="Rounded Rectangle 3"/>
        <xdr:cNvSpPr/>
      </xdr:nvSpPr>
      <xdr:spPr>
        <a:xfrm>
          <a:off x="1990726" y="28575"/>
          <a:ext cx="10848974" cy="5562600"/>
        </a:xfrm>
        <a:prstGeom prst="roundRect">
          <a:avLst>
            <a:gd name="adj" fmla="val 4090"/>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371475</xdr:colOff>
      <xdr:row>1</xdr:row>
      <xdr:rowOff>0</xdr:rowOff>
    </xdr:from>
    <xdr:to>
      <xdr:col>13</xdr:col>
      <xdr:colOff>247650</xdr:colOff>
      <xdr:row>5</xdr:row>
      <xdr:rowOff>161925</xdr:rowOff>
    </xdr:to>
    <mc:AlternateContent xmlns:mc="http://schemas.openxmlformats.org/markup-compatibility/2006" xmlns:tsle="http://schemas.microsoft.com/office/drawing/2012/timeslicer">
      <mc:Choice Requires="tsle">
        <xdr:graphicFrame macro="">
          <xdr:nvGraphicFramePr>
            <xdr:cNvPr id="5"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200275" y="190500"/>
              <a:ext cx="59721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333374</xdr:colOff>
      <xdr:row>0</xdr:row>
      <xdr:rowOff>180976</xdr:rowOff>
    </xdr:from>
    <xdr:to>
      <xdr:col>20</xdr:col>
      <xdr:colOff>476250</xdr:colOff>
      <xdr:row>5</xdr:row>
      <xdr:rowOff>180976</xdr:rowOff>
    </xdr:to>
    <mc:AlternateContent xmlns:mc="http://schemas.openxmlformats.org/markup-compatibility/2006" xmlns:a14="http://schemas.microsoft.com/office/drawing/2010/main">
      <mc:Choice Requires="a14">
        <xdr:graphicFrame macro="">
          <xdr:nvGraphicFramePr>
            <xdr:cNvPr id="6"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258174" y="180976"/>
              <a:ext cx="4410076"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361949</xdr:colOff>
      <xdr:row>6</xdr:row>
      <xdr:rowOff>47626</xdr:rowOff>
    </xdr:from>
    <xdr:to>
      <xdr:col>20</xdr:col>
      <xdr:colOff>504824</xdr:colOff>
      <xdr:row>9</xdr:row>
      <xdr:rowOff>123826</xdr:rowOff>
    </xdr:to>
    <mc:AlternateContent xmlns:mc="http://schemas.openxmlformats.org/markup-compatibility/2006" xmlns:a14="http://schemas.microsoft.com/office/drawing/2010/main">
      <mc:Choice Requires="a14">
        <xdr:graphicFrame macro="">
          <xdr:nvGraphicFramePr>
            <xdr:cNvPr id="7" name="Product 2"/>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190749" y="1190626"/>
              <a:ext cx="1050607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352424</xdr:colOff>
      <xdr:row>10</xdr:row>
      <xdr:rowOff>19050</xdr:rowOff>
    </xdr:from>
    <xdr:to>
      <xdr:col>6</xdr:col>
      <xdr:colOff>419100</xdr:colOff>
      <xdr:row>13</xdr:row>
      <xdr:rowOff>85725</xdr:rowOff>
    </xdr:to>
    <xdr:sp macro="" textlink="">
      <xdr:nvSpPr>
        <xdr:cNvPr id="8" name="Rounded Rectangle 7"/>
        <xdr:cNvSpPr/>
      </xdr:nvSpPr>
      <xdr:spPr>
        <a:xfrm>
          <a:off x="2181224" y="1924050"/>
          <a:ext cx="1895476" cy="638175"/>
        </a:xfrm>
        <a:prstGeom prst="roundRect">
          <a:avLst>
            <a:gd name="adj" fmla="val 33085"/>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561975</xdr:colOff>
      <xdr:row>10</xdr:row>
      <xdr:rowOff>9525</xdr:rowOff>
    </xdr:from>
    <xdr:to>
      <xdr:col>20</xdr:col>
      <xdr:colOff>504825</xdr:colOff>
      <xdr:row>13</xdr:row>
      <xdr:rowOff>76200</xdr:rowOff>
    </xdr:to>
    <xdr:sp macro="" textlink="">
      <xdr:nvSpPr>
        <xdr:cNvPr id="9" name="Rounded Rectangle 8"/>
        <xdr:cNvSpPr/>
      </xdr:nvSpPr>
      <xdr:spPr>
        <a:xfrm>
          <a:off x="10925175" y="1914525"/>
          <a:ext cx="1771650" cy="638175"/>
        </a:xfrm>
        <a:prstGeom prst="roundRect">
          <a:avLst>
            <a:gd name="adj" fmla="val 33085"/>
          </a:avLst>
        </a:prstGeom>
        <a:solidFill>
          <a:schemeClr val="accent6">
            <a:lumMod val="75000"/>
          </a:schemeClr>
        </a:solidFill>
        <a:ln>
          <a:solidFill>
            <a:srgbClr val="0096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247649</xdr:colOff>
      <xdr:row>10</xdr:row>
      <xdr:rowOff>19050</xdr:rowOff>
    </xdr:from>
    <xdr:to>
      <xdr:col>17</xdr:col>
      <xdr:colOff>276224</xdr:colOff>
      <xdr:row>13</xdr:row>
      <xdr:rowOff>85725</xdr:rowOff>
    </xdr:to>
    <xdr:sp macro="" textlink="">
      <xdr:nvSpPr>
        <xdr:cNvPr id="10" name="Rounded Rectangle 9"/>
        <xdr:cNvSpPr/>
      </xdr:nvSpPr>
      <xdr:spPr>
        <a:xfrm>
          <a:off x="8782049" y="1924050"/>
          <a:ext cx="1857375" cy="638175"/>
        </a:xfrm>
        <a:prstGeom prst="roundRect">
          <a:avLst>
            <a:gd name="adj" fmla="val 33085"/>
          </a:avLst>
        </a:prstGeom>
        <a:solidFill>
          <a:schemeClr val="accent6">
            <a:lumMod val="75000"/>
          </a:schemeClr>
        </a:solidFill>
        <a:ln>
          <a:solidFill>
            <a:srgbClr val="0096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504824</xdr:colOff>
      <xdr:row>10</xdr:row>
      <xdr:rowOff>19050</xdr:rowOff>
    </xdr:from>
    <xdr:to>
      <xdr:col>13</xdr:col>
      <xdr:colOff>533399</xdr:colOff>
      <xdr:row>13</xdr:row>
      <xdr:rowOff>85725</xdr:rowOff>
    </xdr:to>
    <xdr:sp macro="" textlink="">
      <xdr:nvSpPr>
        <xdr:cNvPr id="11" name="Rounded Rectangle 10"/>
        <xdr:cNvSpPr/>
      </xdr:nvSpPr>
      <xdr:spPr>
        <a:xfrm>
          <a:off x="6600824" y="1924050"/>
          <a:ext cx="1857375" cy="638175"/>
        </a:xfrm>
        <a:prstGeom prst="roundRect">
          <a:avLst>
            <a:gd name="adj" fmla="val 33085"/>
          </a:avLst>
        </a:prstGeom>
        <a:solidFill>
          <a:schemeClr val="accent6">
            <a:lumMod val="75000"/>
          </a:schemeClr>
        </a:solidFill>
        <a:ln>
          <a:solidFill>
            <a:srgbClr val="0096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85724</xdr:colOff>
      <xdr:row>10</xdr:row>
      <xdr:rowOff>38100</xdr:rowOff>
    </xdr:from>
    <xdr:to>
      <xdr:col>10</xdr:col>
      <xdr:colOff>114299</xdr:colOff>
      <xdr:row>13</xdr:row>
      <xdr:rowOff>104775</xdr:rowOff>
    </xdr:to>
    <xdr:sp macro="" textlink="">
      <xdr:nvSpPr>
        <xdr:cNvPr id="12" name="Rounded Rectangle 11"/>
        <xdr:cNvSpPr/>
      </xdr:nvSpPr>
      <xdr:spPr>
        <a:xfrm>
          <a:off x="4352924" y="1943100"/>
          <a:ext cx="1857375" cy="638175"/>
        </a:xfrm>
        <a:prstGeom prst="roundRect">
          <a:avLst>
            <a:gd name="adj" fmla="val 33085"/>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85726</xdr:colOff>
      <xdr:row>10</xdr:row>
      <xdr:rowOff>9525</xdr:rowOff>
    </xdr:from>
    <xdr:to>
      <xdr:col>20</xdr:col>
      <xdr:colOff>542926</xdr:colOff>
      <xdr:row>13</xdr:row>
      <xdr:rowOff>76200</xdr:rowOff>
    </xdr:to>
    <xdr:sp macro="" textlink="">
      <xdr:nvSpPr>
        <xdr:cNvPr id="13" name="Rounded Rectangle 12"/>
        <xdr:cNvSpPr/>
      </xdr:nvSpPr>
      <xdr:spPr>
        <a:xfrm>
          <a:off x="11058526" y="1914525"/>
          <a:ext cx="1676400" cy="638175"/>
        </a:xfrm>
        <a:prstGeom prst="roundRect">
          <a:avLst>
            <a:gd name="adj" fmla="val 3308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371475</xdr:colOff>
      <xdr:row>10</xdr:row>
      <xdr:rowOff>19050</xdr:rowOff>
    </xdr:from>
    <xdr:to>
      <xdr:col>17</xdr:col>
      <xdr:colOff>285750</xdr:colOff>
      <xdr:row>13</xdr:row>
      <xdr:rowOff>85725</xdr:rowOff>
    </xdr:to>
    <xdr:sp macro="" textlink="">
      <xdr:nvSpPr>
        <xdr:cNvPr id="14" name="Rounded Rectangle 13"/>
        <xdr:cNvSpPr/>
      </xdr:nvSpPr>
      <xdr:spPr>
        <a:xfrm>
          <a:off x="8905875" y="1924050"/>
          <a:ext cx="1743075" cy="638175"/>
        </a:xfrm>
        <a:prstGeom prst="roundRect">
          <a:avLst>
            <a:gd name="adj" fmla="val 3308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76200</xdr:colOff>
      <xdr:row>10</xdr:row>
      <xdr:rowOff>19050</xdr:rowOff>
    </xdr:from>
    <xdr:to>
      <xdr:col>13</xdr:col>
      <xdr:colOff>600075</xdr:colOff>
      <xdr:row>13</xdr:row>
      <xdr:rowOff>85725</xdr:rowOff>
    </xdr:to>
    <xdr:sp macro="" textlink="">
      <xdr:nvSpPr>
        <xdr:cNvPr id="15" name="Rounded Rectangle 14"/>
        <xdr:cNvSpPr/>
      </xdr:nvSpPr>
      <xdr:spPr>
        <a:xfrm>
          <a:off x="6781800" y="1924050"/>
          <a:ext cx="1743075" cy="638175"/>
        </a:xfrm>
        <a:prstGeom prst="roundRect">
          <a:avLst>
            <a:gd name="adj" fmla="val 3308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10</xdr:row>
      <xdr:rowOff>47625</xdr:rowOff>
    </xdr:from>
    <xdr:to>
      <xdr:col>10</xdr:col>
      <xdr:colOff>142875</xdr:colOff>
      <xdr:row>13</xdr:row>
      <xdr:rowOff>114300</xdr:rowOff>
    </xdr:to>
    <xdr:sp macro="" textlink="">
      <xdr:nvSpPr>
        <xdr:cNvPr id="16" name="Rounded Rectangle 15"/>
        <xdr:cNvSpPr/>
      </xdr:nvSpPr>
      <xdr:spPr>
        <a:xfrm>
          <a:off x="4495800" y="1952625"/>
          <a:ext cx="1743075" cy="638175"/>
        </a:xfrm>
        <a:prstGeom prst="roundRect">
          <a:avLst>
            <a:gd name="adj" fmla="val 3308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10</xdr:row>
      <xdr:rowOff>28575</xdr:rowOff>
    </xdr:from>
    <xdr:to>
      <xdr:col>6</xdr:col>
      <xdr:colOff>438150</xdr:colOff>
      <xdr:row>13</xdr:row>
      <xdr:rowOff>95250</xdr:rowOff>
    </xdr:to>
    <xdr:sp macro="" textlink="">
      <xdr:nvSpPr>
        <xdr:cNvPr id="18" name="Rounded Rectangle 17"/>
        <xdr:cNvSpPr/>
      </xdr:nvSpPr>
      <xdr:spPr>
        <a:xfrm>
          <a:off x="2352675" y="1933575"/>
          <a:ext cx="1743075" cy="638175"/>
        </a:xfrm>
        <a:prstGeom prst="roundRect">
          <a:avLst>
            <a:gd name="adj" fmla="val 33085"/>
          </a:avLst>
        </a:prstGeom>
        <a:solidFill>
          <a:schemeClr val="bg1"/>
        </a:solidFill>
        <a:ln>
          <a:solidFill>
            <a:srgbClr val="0096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9</xdr:row>
      <xdr:rowOff>142875</xdr:rowOff>
    </xdr:from>
    <xdr:to>
      <xdr:col>7</xdr:col>
      <xdr:colOff>57150</xdr:colOff>
      <xdr:row>13</xdr:row>
      <xdr:rowOff>38100</xdr:rowOff>
    </xdr:to>
    <xdr:sp macro="" textlink="">
      <xdr:nvSpPr>
        <xdr:cNvPr id="2" name="Rounded Rectangle 1"/>
        <xdr:cNvSpPr/>
      </xdr:nvSpPr>
      <xdr:spPr>
        <a:xfrm>
          <a:off x="2590800" y="1857375"/>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75000"/>
                </a:schemeClr>
              </a:solidFill>
            </a:rPr>
            <a:t>Total Sales</a:t>
          </a:r>
        </a:p>
      </xdr:txBody>
    </xdr:sp>
    <xdr:clientData/>
  </xdr:twoCellAnchor>
  <xdr:twoCellAnchor>
    <xdr:from>
      <xdr:col>7</xdr:col>
      <xdr:colOff>495300</xdr:colOff>
      <xdr:row>9</xdr:row>
      <xdr:rowOff>161925</xdr:rowOff>
    </xdr:from>
    <xdr:to>
      <xdr:col>10</xdr:col>
      <xdr:colOff>400050</xdr:colOff>
      <xdr:row>13</xdr:row>
      <xdr:rowOff>57150</xdr:rowOff>
    </xdr:to>
    <xdr:sp macro="" textlink="">
      <xdr:nvSpPr>
        <xdr:cNvPr id="19" name="Rounded Rectangle 18"/>
        <xdr:cNvSpPr/>
      </xdr:nvSpPr>
      <xdr:spPr>
        <a:xfrm>
          <a:off x="4762500" y="1876425"/>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75000"/>
                </a:schemeClr>
              </a:solidFill>
            </a:rPr>
            <a:t>Total Profit</a:t>
          </a:r>
        </a:p>
      </xdr:txBody>
    </xdr:sp>
    <xdr:clientData/>
  </xdr:twoCellAnchor>
  <xdr:twoCellAnchor>
    <xdr:from>
      <xdr:col>3</xdr:col>
      <xdr:colOff>523875</xdr:colOff>
      <xdr:row>11</xdr:row>
      <xdr:rowOff>28575</xdr:rowOff>
    </xdr:from>
    <xdr:to>
      <xdr:col>6</xdr:col>
      <xdr:colOff>428625</xdr:colOff>
      <xdr:row>14</xdr:row>
      <xdr:rowOff>114300</xdr:rowOff>
    </xdr:to>
    <xdr:sp macro="" textlink="">
      <xdr:nvSpPr>
        <xdr:cNvPr id="20" name="Rounded Rectangle 19"/>
        <xdr:cNvSpPr/>
      </xdr:nvSpPr>
      <xdr:spPr>
        <a:xfrm>
          <a:off x="2352675" y="2124075"/>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accent6">
                  <a:lumMod val="75000"/>
                </a:schemeClr>
              </a:solidFill>
              <a:effectLst/>
              <a:latin typeface="+mn-lt"/>
              <a:ea typeface="+mn-ea"/>
              <a:cs typeface="+mn-cs"/>
            </a:rPr>
            <a:t>₦17,779,526,000</a:t>
          </a:r>
          <a:r>
            <a:rPr lang="en-US" sz="1600" b="1">
              <a:solidFill>
                <a:schemeClr val="accent6">
                  <a:lumMod val="75000"/>
                </a:schemeClr>
              </a:solidFill>
            </a:rPr>
            <a:t> </a:t>
          </a:r>
        </a:p>
      </xdr:txBody>
    </xdr:sp>
    <xdr:clientData/>
  </xdr:twoCellAnchor>
  <xdr:twoCellAnchor>
    <xdr:from>
      <xdr:col>7</xdr:col>
      <xdr:colOff>314325</xdr:colOff>
      <xdr:row>11</xdr:row>
      <xdr:rowOff>47625</xdr:rowOff>
    </xdr:from>
    <xdr:to>
      <xdr:col>10</xdr:col>
      <xdr:colOff>219075</xdr:colOff>
      <xdr:row>14</xdr:row>
      <xdr:rowOff>133350</xdr:rowOff>
    </xdr:to>
    <xdr:sp macro="" textlink="">
      <xdr:nvSpPr>
        <xdr:cNvPr id="21" name="Rounded Rectangle 20"/>
        <xdr:cNvSpPr/>
      </xdr:nvSpPr>
      <xdr:spPr>
        <a:xfrm>
          <a:off x="4581525" y="2143125"/>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accent6">
                  <a:lumMod val="75000"/>
                </a:schemeClr>
              </a:solidFill>
              <a:effectLst/>
              <a:latin typeface="+mn-lt"/>
              <a:ea typeface="+mn-ea"/>
              <a:cs typeface="+mn-cs"/>
            </a:rPr>
            <a:t>₦2,657,394,000</a:t>
          </a:r>
          <a:r>
            <a:rPr lang="en-US" sz="1600" b="1">
              <a:solidFill>
                <a:schemeClr val="accent6">
                  <a:lumMod val="75000"/>
                </a:schemeClr>
              </a:solidFill>
            </a:rPr>
            <a:t> </a:t>
          </a:r>
        </a:p>
      </xdr:txBody>
    </xdr:sp>
    <xdr:clientData/>
  </xdr:twoCellAnchor>
  <xdr:twoCellAnchor>
    <xdr:from>
      <xdr:col>14</xdr:col>
      <xdr:colOff>447675</xdr:colOff>
      <xdr:row>9</xdr:row>
      <xdr:rowOff>152400</xdr:rowOff>
    </xdr:from>
    <xdr:to>
      <xdr:col>17</xdr:col>
      <xdr:colOff>352425</xdr:colOff>
      <xdr:row>13</xdr:row>
      <xdr:rowOff>47625</xdr:rowOff>
    </xdr:to>
    <xdr:sp macro="" textlink="">
      <xdr:nvSpPr>
        <xdr:cNvPr id="22" name="Rounded Rectangle 21"/>
        <xdr:cNvSpPr/>
      </xdr:nvSpPr>
      <xdr:spPr>
        <a:xfrm>
          <a:off x="8982075" y="1866900"/>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accent6">
                  <a:lumMod val="75000"/>
                </a:schemeClr>
              </a:solidFill>
            </a:rPr>
            <a:t>September Sales</a:t>
          </a:r>
          <a:endParaRPr lang="en-US" sz="1600" b="1">
            <a:solidFill>
              <a:schemeClr val="accent6">
                <a:lumMod val="75000"/>
              </a:schemeClr>
            </a:solidFill>
          </a:endParaRPr>
        </a:p>
      </xdr:txBody>
    </xdr:sp>
    <xdr:clientData/>
  </xdr:twoCellAnchor>
  <xdr:twoCellAnchor>
    <xdr:from>
      <xdr:col>11</xdr:col>
      <xdr:colOff>180975</xdr:colOff>
      <xdr:row>11</xdr:row>
      <xdr:rowOff>19050</xdr:rowOff>
    </xdr:from>
    <xdr:to>
      <xdr:col>14</xdr:col>
      <xdr:colOff>85725</xdr:colOff>
      <xdr:row>14</xdr:row>
      <xdr:rowOff>104775</xdr:rowOff>
    </xdr:to>
    <xdr:sp macro="" textlink="">
      <xdr:nvSpPr>
        <xdr:cNvPr id="24" name="Rounded Rectangle 23"/>
        <xdr:cNvSpPr/>
      </xdr:nvSpPr>
      <xdr:spPr>
        <a:xfrm>
          <a:off x="6886575" y="2114550"/>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accent6">
                  <a:lumMod val="75000"/>
                </a:schemeClr>
              </a:solidFill>
              <a:effectLst/>
              <a:latin typeface="+mn-lt"/>
              <a:ea typeface="+mn-ea"/>
              <a:cs typeface="+mn-cs"/>
            </a:rPr>
            <a:t>₦1,959,831,000</a:t>
          </a:r>
          <a:r>
            <a:rPr lang="en-US" sz="1600" b="1">
              <a:solidFill>
                <a:schemeClr val="accent6">
                  <a:lumMod val="75000"/>
                </a:schemeClr>
              </a:solidFill>
            </a:rPr>
            <a:t> </a:t>
          </a:r>
        </a:p>
      </xdr:txBody>
    </xdr:sp>
    <xdr:clientData/>
  </xdr:twoCellAnchor>
  <xdr:twoCellAnchor>
    <xdr:from>
      <xdr:col>11</xdr:col>
      <xdr:colOff>285750</xdr:colOff>
      <xdr:row>9</xdr:row>
      <xdr:rowOff>133350</xdr:rowOff>
    </xdr:from>
    <xdr:to>
      <xdr:col>14</xdr:col>
      <xdr:colOff>190500</xdr:colOff>
      <xdr:row>13</xdr:row>
      <xdr:rowOff>28575</xdr:rowOff>
    </xdr:to>
    <xdr:sp macro="" textlink="">
      <xdr:nvSpPr>
        <xdr:cNvPr id="25" name="Rounded Rectangle 24"/>
        <xdr:cNvSpPr/>
      </xdr:nvSpPr>
      <xdr:spPr>
        <a:xfrm>
          <a:off x="6991350" y="1847850"/>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75000"/>
                </a:schemeClr>
              </a:solidFill>
            </a:rPr>
            <a:t>August</a:t>
          </a:r>
          <a:r>
            <a:rPr lang="en-US" sz="1600" b="1" baseline="0">
              <a:solidFill>
                <a:schemeClr val="accent6">
                  <a:lumMod val="75000"/>
                </a:schemeClr>
              </a:solidFill>
            </a:rPr>
            <a:t> Sales</a:t>
          </a:r>
          <a:endParaRPr lang="en-US" sz="1600" b="1">
            <a:solidFill>
              <a:schemeClr val="accent6">
                <a:lumMod val="75000"/>
              </a:schemeClr>
            </a:solidFill>
          </a:endParaRPr>
        </a:p>
      </xdr:txBody>
    </xdr:sp>
    <xdr:clientData/>
  </xdr:twoCellAnchor>
  <xdr:twoCellAnchor>
    <xdr:from>
      <xdr:col>18</xdr:col>
      <xdr:colOff>19050</xdr:colOff>
      <xdr:row>11</xdr:row>
      <xdr:rowOff>47625</xdr:rowOff>
    </xdr:from>
    <xdr:to>
      <xdr:col>20</xdr:col>
      <xdr:colOff>533400</xdr:colOff>
      <xdr:row>14</xdr:row>
      <xdr:rowOff>133350</xdr:rowOff>
    </xdr:to>
    <xdr:sp macro="" textlink="">
      <xdr:nvSpPr>
        <xdr:cNvPr id="26" name="Rounded Rectangle 25"/>
        <xdr:cNvSpPr/>
      </xdr:nvSpPr>
      <xdr:spPr>
        <a:xfrm>
          <a:off x="10991850" y="2143125"/>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accent6">
                  <a:lumMod val="75000"/>
                </a:schemeClr>
              </a:solidFill>
              <a:effectLst/>
              <a:latin typeface="+mn-lt"/>
              <a:ea typeface="+mn-ea"/>
              <a:cs typeface="+mn-cs"/>
            </a:rPr>
            <a:t> ₦  1,024,630,000 </a:t>
          </a:r>
          <a:endParaRPr lang="en-US" sz="1600" b="1">
            <a:solidFill>
              <a:schemeClr val="accent6">
                <a:lumMod val="75000"/>
              </a:schemeClr>
            </a:solidFill>
          </a:endParaRPr>
        </a:p>
      </xdr:txBody>
    </xdr:sp>
    <xdr:clientData/>
  </xdr:twoCellAnchor>
  <xdr:twoCellAnchor>
    <xdr:from>
      <xdr:col>14</xdr:col>
      <xdr:colOff>542925</xdr:colOff>
      <xdr:row>11</xdr:row>
      <xdr:rowOff>38100</xdr:rowOff>
    </xdr:from>
    <xdr:to>
      <xdr:col>17</xdr:col>
      <xdr:colOff>447675</xdr:colOff>
      <xdr:row>14</xdr:row>
      <xdr:rowOff>123825</xdr:rowOff>
    </xdr:to>
    <xdr:sp macro="" textlink="">
      <xdr:nvSpPr>
        <xdr:cNvPr id="27" name="Rounded Rectangle 26"/>
        <xdr:cNvSpPr/>
      </xdr:nvSpPr>
      <xdr:spPr>
        <a:xfrm>
          <a:off x="9077325" y="2133600"/>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6">
                  <a:lumMod val="75000"/>
                </a:schemeClr>
              </a:solidFill>
              <a:effectLst/>
              <a:latin typeface="+mn-lt"/>
              <a:ea typeface="+mn-ea"/>
              <a:cs typeface="+mn-cs"/>
            </a:rPr>
            <a:t>₦935,201,000</a:t>
          </a:r>
          <a:r>
            <a:rPr lang="en-US" sz="1400" b="1">
              <a:solidFill>
                <a:schemeClr val="accent6">
                  <a:lumMod val="75000"/>
                </a:schemeClr>
              </a:solidFill>
            </a:rPr>
            <a:t> </a:t>
          </a:r>
        </a:p>
      </xdr:txBody>
    </xdr:sp>
    <xdr:clientData/>
  </xdr:twoCellAnchor>
  <xdr:twoCellAnchor>
    <xdr:from>
      <xdr:col>18</xdr:col>
      <xdr:colOff>114300</xdr:colOff>
      <xdr:row>9</xdr:row>
      <xdr:rowOff>161925</xdr:rowOff>
    </xdr:from>
    <xdr:to>
      <xdr:col>21</xdr:col>
      <xdr:colOff>19050</xdr:colOff>
      <xdr:row>13</xdr:row>
      <xdr:rowOff>57150</xdr:rowOff>
    </xdr:to>
    <xdr:sp macro="" textlink="">
      <xdr:nvSpPr>
        <xdr:cNvPr id="28" name="Rounded Rectangle 27"/>
        <xdr:cNvSpPr/>
      </xdr:nvSpPr>
      <xdr:spPr>
        <a:xfrm>
          <a:off x="11087100" y="1876425"/>
          <a:ext cx="1733550" cy="6572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75000"/>
                </a:schemeClr>
              </a:solidFill>
            </a:rPr>
            <a:t>Aug-Sep Change</a:t>
          </a:r>
        </a:p>
      </xdr:txBody>
    </xdr:sp>
    <xdr:clientData/>
  </xdr:twoCellAnchor>
  <xdr:twoCellAnchor>
    <xdr:from>
      <xdr:col>3</xdr:col>
      <xdr:colOff>323850</xdr:colOff>
      <xdr:row>13</xdr:row>
      <xdr:rowOff>161924</xdr:rowOff>
    </xdr:from>
    <xdr:to>
      <xdr:col>9</xdr:col>
      <xdr:colOff>190500</xdr:colOff>
      <xdr:row>29</xdr:row>
      <xdr:rowOff>19049</xdr:rowOff>
    </xdr:to>
    <xdr:sp macro="" textlink="">
      <xdr:nvSpPr>
        <xdr:cNvPr id="17" name="Rounded Rectangle 16"/>
        <xdr:cNvSpPr/>
      </xdr:nvSpPr>
      <xdr:spPr>
        <a:xfrm>
          <a:off x="2152650" y="2638424"/>
          <a:ext cx="3524250" cy="2905125"/>
        </a:xfrm>
        <a:prstGeom prst="roundRect">
          <a:avLst>
            <a:gd name="adj" fmla="val 8389"/>
          </a:avLst>
        </a:prstGeom>
        <a:solidFill>
          <a:schemeClr val="bg1"/>
        </a:solidFill>
        <a:ln>
          <a:solidFill>
            <a:srgbClr val="0096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528637</xdr:colOff>
      <xdr:row>13</xdr:row>
      <xdr:rowOff>119064</xdr:rowOff>
    </xdr:from>
    <xdr:to>
      <xdr:col>20</xdr:col>
      <xdr:colOff>561975</xdr:colOff>
      <xdr:row>29</xdr:row>
      <xdr:rowOff>19050</xdr:rowOff>
    </xdr:to>
    <xdr:sp macro="" textlink="">
      <xdr:nvSpPr>
        <xdr:cNvPr id="29" name="Rounded Rectangle 28"/>
        <xdr:cNvSpPr/>
      </xdr:nvSpPr>
      <xdr:spPr>
        <a:xfrm rot="5400000">
          <a:off x="9739313" y="2528888"/>
          <a:ext cx="2947986" cy="3081338"/>
        </a:xfrm>
        <a:prstGeom prst="roundRect">
          <a:avLst>
            <a:gd name="adj" fmla="val 862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clientData/>
  </xdr:twoCellAnchor>
  <xdr:twoCellAnchor>
    <xdr:from>
      <xdr:col>9</xdr:col>
      <xdr:colOff>219076</xdr:colOff>
      <xdr:row>13</xdr:row>
      <xdr:rowOff>142875</xdr:rowOff>
    </xdr:from>
    <xdr:to>
      <xdr:col>15</xdr:col>
      <xdr:colOff>504826</xdr:colOff>
      <xdr:row>29</xdr:row>
      <xdr:rowOff>19050</xdr:rowOff>
    </xdr:to>
    <xdr:sp macro="" textlink="">
      <xdr:nvSpPr>
        <xdr:cNvPr id="30" name="Rounded Rectangle 29"/>
        <xdr:cNvSpPr/>
      </xdr:nvSpPr>
      <xdr:spPr>
        <a:xfrm>
          <a:off x="5705476" y="2619375"/>
          <a:ext cx="3943350" cy="2924175"/>
        </a:xfrm>
        <a:prstGeom prst="roundRect">
          <a:avLst>
            <a:gd name="adj" fmla="val 887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400050</xdr:colOff>
      <xdr:row>13</xdr:row>
      <xdr:rowOff>180975</xdr:rowOff>
    </xdr:from>
    <xdr:to>
      <xdr:col>9</xdr:col>
      <xdr:colOff>238126</xdr:colOff>
      <xdr:row>28</xdr:row>
      <xdr:rowOff>114300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333374</xdr:colOff>
      <xdr:row>14</xdr:row>
      <xdr:rowOff>0</xdr:rowOff>
    </xdr:from>
    <xdr:to>
      <xdr:col>15</xdr:col>
      <xdr:colOff>380999</xdr:colOff>
      <xdr:row>28</xdr:row>
      <xdr:rowOff>95250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33337</xdr:colOff>
      <xdr:row>14</xdr:row>
      <xdr:rowOff>80964</xdr:rowOff>
    </xdr:from>
    <xdr:to>
      <xdr:col>21</xdr:col>
      <xdr:colOff>276225</xdr:colOff>
      <xdr:row>28</xdr:row>
      <xdr:rowOff>157164</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285750</xdr:colOff>
      <xdr:row>1</xdr:row>
      <xdr:rowOff>28575</xdr:rowOff>
    </xdr:from>
    <xdr:to>
      <xdr:col>3</xdr:col>
      <xdr:colOff>66675</xdr:colOff>
      <xdr:row>8</xdr:row>
      <xdr:rowOff>47625</xdr:rowOff>
    </xdr:to>
    <xdr:sp macro="" textlink="">
      <xdr:nvSpPr>
        <xdr:cNvPr id="34" name="Flowchart: Process 33"/>
        <xdr:cNvSpPr/>
      </xdr:nvSpPr>
      <xdr:spPr>
        <a:xfrm>
          <a:off x="285750" y="219075"/>
          <a:ext cx="1609725" cy="1352550"/>
        </a:xfrm>
        <a:prstGeom prst="flowChartProcess">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1</xdr:row>
      <xdr:rowOff>85725</xdr:rowOff>
    </xdr:from>
    <xdr:to>
      <xdr:col>2</xdr:col>
      <xdr:colOff>600075</xdr:colOff>
      <xdr:row>7</xdr:row>
      <xdr:rowOff>171450</xdr:rowOff>
    </xdr:to>
    <xdr:sp macro="" textlink="">
      <xdr:nvSpPr>
        <xdr:cNvPr id="35" name="Flowchart: Process 34"/>
        <xdr:cNvSpPr/>
      </xdr:nvSpPr>
      <xdr:spPr>
        <a:xfrm>
          <a:off x="361950" y="276225"/>
          <a:ext cx="1457325" cy="1228725"/>
        </a:xfrm>
        <a:prstGeom prst="flowChartProcess">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323850</xdr:colOff>
      <xdr:row>2</xdr:row>
      <xdr:rowOff>19050</xdr:rowOff>
    </xdr:from>
    <xdr:to>
      <xdr:col>3</xdr:col>
      <xdr:colOff>9525</xdr:colOff>
      <xdr:row>7</xdr:row>
      <xdr:rowOff>142876</xdr:rowOff>
    </xdr:to>
    <xdr:sp macro="" textlink="">
      <xdr:nvSpPr>
        <xdr:cNvPr id="36" name="Rounded Rectangle 35"/>
        <xdr:cNvSpPr/>
      </xdr:nvSpPr>
      <xdr:spPr>
        <a:xfrm>
          <a:off x="323850" y="400050"/>
          <a:ext cx="1514475" cy="107632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500" b="1">
              <a:solidFill>
                <a:srgbClr val="007A37"/>
              </a:solidFill>
            </a:rPr>
            <a:t>SALES </a:t>
          </a:r>
        </a:p>
        <a:p>
          <a:pPr lvl="0" algn="ctr"/>
          <a:r>
            <a:rPr lang="en-US" sz="1500" b="1">
              <a:solidFill>
                <a:srgbClr val="007A37"/>
              </a:solidFill>
            </a:rPr>
            <a:t>PERFORMANCE</a:t>
          </a:r>
        </a:p>
        <a:p>
          <a:pPr lvl="0" algn="ctr"/>
          <a:r>
            <a:rPr lang="en-US" sz="1500" b="1">
              <a:solidFill>
                <a:srgbClr val="007A37"/>
              </a:solidFill>
            </a:rPr>
            <a:t>DASHBOARD</a:t>
          </a:r>
        </a:p>
      </xdr:txBody>
    </xdr:sp>
    <xdr:clientData/>
  </xdr:twoCellAnchor>
  <xdr:twoCellAnchor>
    <xdr:from>
      <xdr:col>0</xdr:col>
      <xdr:colOff>276226</xdr:colOff>
      <xdr:row>10</xdr:row>
      <xdr:rowOff>57149</xdr:rowOff>
    </xdr:from>
    <xdr:to>
      <xdr:col>2</xdr:col>
      <xdr:colOff>600076</xdr:colOff>
      <xdr:row>28</xdr:row>
      <xdr:rowOff>104774</xdr:rowOff>
    </xdr:to>
    <xdr:sp macro="" textlink="">
      <xdr:nvSpPr>
        <xdr:cNvPr id="37" name="Rounded Rectangle 36"/>
        <xdr:cNvSpPr/>
      </xdr:nvSpPr>
      <xdr:spPr>
        <a:xfrm>
          <a:off x="276226" y="1962149"/>
          <a:ext cx="1543050" cy="34766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sng">
              <a:solidFill>
                <a:schemeClr val="bg1"/>
              </a:solidFill>
            </a:rPr>
            <a:t>KEY INSIGHTS</a:t>
          </a:r>
        </a:p>
        <a:p>
          <a:pPr algn="ctr"/>
          <a:endParaRPr lang="en-US" sz="1200" b="1">
            <a:solidFill>
              <a:schemeClr val="bg1"/>
            </a:solidFill>
          </a:endParaRPr>
        </a:p>
        <a:p>
          <a:pPr algn="ctr"/>
          <a:r>
            <a:rPr lang="en-US" sz="1200" b="1">
              <a:solidFill>
                <a:schemeClr val="bg1"/>
              </a:solidFill>
            </a:rPr>
            <a:t>Top</a:t>
          </a:r>
          <a:r>
            <a:rPr lang="en-US" sz="1200" b="1" baseline="0">
              <a:solidFill>
                <a:schemeClr val="bg1"/>
              </a:solidFill>
            </a:rPr>
            <a:t> Product:</a:t>
          </a:r>
        </a:p>
        <a:p>
          <a:pPr algn="ctr"/>
          <a:r>
            <a:rPr lang="en-US" sz="1200" b="1" baseline="0">
              <a:solidFill>
                <a:schemeClr val="bg1"/>
              </a:solidFill>
            </a:rPr>
            <a:t>Toyota Highlander</a:t>
          </a:r>
        </a:p>
        <a:p>
          <a:pPr algn="ctr"/>
          <a:endParaRPr lang="en-US" sz="1200" b="1" baseline="0">
            <a:solidFill>
              <a:schemeClr val="bg1"/>
            </a:solidFill>
          </a:endParaRPr>
        </a:p>
        <a:p>
          <a:pPr algn="ctr"/>
          <a:r>
            <a:rPr lang="en-US" sz="1200" b="1" baseline="0">
              <a:solidFill>
                <a:schemeClr val="bg1"/>
              </a:solidFill>
            </a:rPr>
            <a:t>Top Region:</a:t>
          </a:r>
        </a:p>
        <a:p>
          <a:pPr algn="ctr"/>
          <a:r>
            <a:rPr lang="en-US" sz="1200" b="1" baseline="0">
              <a:solidFill>
                <a:schemeClr val="bg1"/>
              </a:solidFill>
            </a:rPr>
            <a:t>Rivers</a:t>
          </a:r>
        </a:p>
        <a:p>
          <a:pPr algn="ctr"/>
          <a:endParaRPr lang="en-US" sz="1200" b="1" baseline="0">
            <a:solidFill>
              <a:schemeClr val="bg1"/>
            </a:solidFill>
          </a:endParaRPr>
        </a:p>
        <a:p>
          <a:pPr algn="ctr"/>
          <a:r>
            <a:rPr lang="en-US" sz="1200" b="1" baseline="0">
              <a:solidFill>
                <a:schemeClr val="bg1"/>
              </a:solidFill>
            </a:rPr>
            <a:t>Highest Sales Month:</a:t>
          </a:r>
        </a:p>
        <a:p>
          <a:pPr algn="ctr"/>
          <a:r>
            <a:rPr lang="en-US" sz="1200" b="1" baseline="0">
              <a:solidFill>
                <a:schemeClr val="bg1"/>
              </a:solidFill>
            </a:rPr>
            <a:t>December</a:t>
          </a:r>
        </a:p>
        <a:p>
          <a:pPr algn="ctr"/>
          <a:endParaRPr lang="en-US" sz="1200" b="1" baseline="0">
            <a:solidFill>
              <a:schemeClr val="bg1"/>
            </a:solidFill>
          </a:endParaRPr>
        </a:p>
        <a:p>
          <a:pPr algn="ctr"/>
          <a:r>
            <a:rPr lang="en-US" sz="1200" b="1" baseline="0">
              <a:solidFill>
                <a:schemeClr val="bg1"/>
              </a:solidFill>
            </a:rPr>
            <a:t>Lowest Sales Month:</a:t>
          </a:r>
        </a:p>
        <a:p>
          <a:pPr algn="ctr"/>
          <a:r>
            <a:rPr lang="en-US" sz="1200" b="1" baseline="0">
              <a:solidFill>
                <a:schemeClr val="bg1"/>
              </a:solidFill>
            </a:rPr>
            <a:t>May</a:t>
          </a:r>
        </a:p>
        <a:p>
          <a:pPr algn="ctr"/>
          <a:endParaRPr lang="en-US" sz="1200" b="1" baseline="0">
            <a:solidFill>
              <a:schemeClr val="bg1"/>
            </a:solidFill>
          </a:endParaRPr>
        </a:p>
        <a:p>
          <a:pPr algn="ctr"/>
          <a:r>
            <a:rPr lang="en-US" sz="1200" b="1" baseline="0">
              <a:solidFill>
                <a:schemeClr val="bg1"/>
              </a:solidFill>
            </a:rPr>
            <a:t>Total Profit:</a:t>
          </a:r>
        </a:p>
        <a:p>
          <a:pPr algn="ctr"/>
          <a:endParaRPr lang="en-US" sz="1200" b="1">
            <a:solidFill>
              <a:schemeClr val="bg1"/>
            </a:solidFill>
          </a:endParaRPr>
        </a:p>
      </xdr:txBody>
    </xdr:sp>
    <xdr:clientData/>
  </xdr:twoCellAnchor>
  <xdr:twoCellAnchor>
    <xdr:from>
      <xdr:col>0</xdr:col>
      <xdr:colOff>276225</xdr:colOff>
      <xdr:row>8</xdr:row>
      <xdr:rowOff>95251</xdr:rowOff>
    </xdr:from>
    <xdr:to>
      <xdr:col>3</xdr:col>
      <xdr:colOff>9525</xdr:colOff>
      <xdr:row>10</xdr:row>
      <xdr:rowOff>76201</xdr:rowOff>
    </xdr:to>
    <xdr:sp macro="" textlink="">
      <xdr:nvSpPr>
        <xdr:cNvPr id="38" name="Rounded Rectangle 37"/>
        <xdr:cNvSpPr/>
      </xdr:nvSpPr>
      <xdr:spPr>
        <a:xfrm>
          <a:off x="276225" y="1619251"/>
          <a:ext cx="1562100" cy="361950"/>
        </a:xfrm>
        <a:prstGeom prst="roundRect">
          <a:avLst>
            <a:gd name="adj" fmla="val 32456"/>
          </a:avLst>
        </a:prstGeom>
        <a:no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REPORT</a:t>
          </a:r>
        </a:p>
      </xdr:txBody>
    </xdr:sp>
    <xdr:clientData/>
  </xdr:twoCellAnchor>
  <xdr:twoCellAnchor>
    <xdr:from>
      <xdr:col>0</xdr:col>
      <xdr:colOff>257175</xdr:colOff>
      <xdr:row>10</xdr:row>
      <xdr:rowOff>180975</xdr:rowOff>
    </xdr:from>
    <xdr:to>
      <xdr:col>3</xdr:col>
      <xdr:colOff>66675</xdr:colOff>
      <xdr:row>29</xdr:row>
      <xdr:rowOff>9525</xdr:rowOff>
    </xdr:to>
    <xdr:sp macro="" textlink="">
      <xdr:nvSpPr>
        <xdr:cNvPr id="39" name="Rounded Rectangle 38"/>
        <xdr:cNvSpPr/>
      </xdr:nvSpPr>
      <xdr:spPr>
        <a:xfrm>
          <a:off x="257175" y="2085975"/>
          <a:ext cx="1638300" cy="3448050"/>
        </a:xfrm>
        <a:prstGeom prst="roundRect">
          <a:avLst/>
        </a:prstGeom>
        <a:no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419100</xdr:colOff>
      <xdr:row>27</xdr:row>
      <xdr:rowOff>66675</xdr:rowOff>
    </xdr:from>
    <xdr:to>
      <xdr:col>2</xdr:col>
      <xdr:colOff>600075</xdr:colOff>
      <xdr:row>30</xdr:row>
      <xdr:rowOff>85725</xdr:rowOff>
    </xdr:to>
    <xdr:sp macro="" textlink="">
      <xdr:nvSpPr>
        <xdr:cNvPr id="23" name="Rounded Rectangle 22"/>
        <xdr:cNvSpPr/>
      </xdr:nvSpPr>
      <xdr:spPr>
        <a:xfrm>
          <a:off x="419100" y="5210175"/>
          <a:ext cx="1400175" cy="5905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bg1"/>
              </a:solidFill>
              <a:effectLst/>
              <a:latin typeface="+mn-lt"/>
              <a:ea typeface="+mn-ea"/>
              <a:cs typeface="+mn-cs"/>
            </a:rPr>
            <a:t>₦2,657,394,000</a:t>
          </a:r>
          <a:r>
            <a:rPr lang="en-US" sz="1200" b="1">
              <a:solidFill>
                <a:schemeClr val="bg1"/>
              </a:solidFill>
            </a:rPr>
            <a:t> </a:t>
          </a:r>
        </a:p>
      </xdr:txBody>
    </xdr:sp>
    <xdr:clientData/>
  </xdr:twoCellAnchor>
  <xdr:twoCellAnchor>
    <xdr:from>
      <xdr:col>8</xdr:col>
      <xdr:colOff>47625</xdr:colOff>
      <xdr:row>15</xdr:row>
      <xdr:rowOff>104775</xdr:rowOff>
    </xdr:from>
    <xdr:to>
      <xdr:col>10</xdr:col>
      <xdr:colOff>323850</xdr:colOff>
      <xdr:row>18</xdr:row>
      <xdr:rowOff>171450</xdr:rowOff>
    </xdr:to>
    <xdr:sp macro="" textlink="">
      <xdr:nvSpPr>
        <xdr:cNvPr id="43" name="Rounded Rectangle 42" hidden="1"/>
        <xdr:cNvSpPr/>
      </xdr:nvSpPr>
      <xdr:spPr>
        <a:xfrm>
          <a:off x="4924425" y="2962275"/>
          <a:ext cx="1495425" cy="638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54.565148495371" createdVersion="5" refreshedVersion="5" minRefreshableVersion="3" recordCount="500">
  <cacheSource type="worksheet">
    <worksheetSource ref="A1:M501" sheet="Workingboard"/>
  </cacheSource>
  <cacheFields count="13">
    <cacheField name="Order ID" numFmtId="0">
      <sharedItems/>
    </cacheField>
    <cacheField name="Date" numFmtId="164">
      <sharedItems containsSemiMixedTypes="0" containsNonDate="0" containsDate="1" containsString="0" minDate="2025-01-03T00:00:00" maxDate="2026-01-01T00:00:00" count="274">
        <d v="2025-11-24T00:00:00"/>
        <d v="2025-08-05T00:00:00"/>
        <d v="2025-04-23T00:00:00"/>
        <d v="2025-06-22T00:00:00"/>
        <d v="2025-07-13T00:00:00"/>
        <d v="2025-04-27T00:00:00"/>
        <d v="2025-07-09T00:00:00"/>
        <d v="2025-08-25T00:00:00"/>
        <d v="2025-01-17T00:00:00"/>
        <d v="2025-11-26T00:00:00"/>
        <d v="2025-07-05T00:00:00"/>
        <d v="2025-02-28T00:00:00"/>
        <d v="2025-05-15T00:00:00"/>
        <d v="2025-03-20T00:00:00"/>
        <d v="2025-09-30T00:00:00"/>
        <d v="2025-12-20T00:00:00"/>
        <d v="2025-02-02T00:00:00"/>
        <d v="2025-06-19T00:00:00"/>
        <d v="2025-05-05T00:00:00"/>
        <d v="2025-12-01T00:00:00"/>
        <d v="2025-03-13T00:00:00"/>
        <d v="2025-11-30T00:00:00"/>
        <d v="2025-07-25T00:00:00"/>
        <d v="2025-10-12T00:00:00"/>
        <d v="2025-01-26T00:00:00"/>
        <d v="2025-02-04T00:00:00"/>
        <d v="2025-12-03T00:00:00"/>
        <d v="2025-11-27T00:00:00"/>
        <d v="2025-04-20T00:00:00"/>
        <d v="2025-06-04T00:00:00"/>
        <d v="2025-05-16T00:00:00"/>
        <d v="2025-09-08T00:00:00"/>
        <d v="2025-01-19T00:00:00"/>
        <d v="2025-04-18T00:00:00"/>
        <d v="2025-03-25T00:00:00"/>
        <d v="2025-05-08T00:00:00"/>
        <d v="2025-06-06T00:00:00"/>
        <d v="2025-11-25T00:00:00"/>
        <d v="2025-04-08T00:00:00"/>
        <d v="2025-08-09T00:00:00"/>
        <d v="2025-12-08T00:00:00"/>
        <d v="2025-10-19T00:00:00"/>
        <d v="2025-08-15T00:00:00"/>
        <d v="2025-12-06T00:00:00"/>
        <d v="2025-01-24T00:00:00"/>
        <d v="2025-07-24T00:00:00"/>
        <d v="2025-12-23T00:00:00"/>
        <d v="2025-11-01T00:00:00"/>
        <d v="2025-03-23T00:00:00"/>
        <d v="2025-05-03T00:00:00"/>
        <d v="2025-07-16T00:00:00"/>
        <d v="2025-10-27T00:00:00"/>
        <d v="2025-10-03T00:00:00"/>
        <d v="2025-12-09T00:00:00"/>
        <d v="2025-10-16T00:00:00"/>
        <d v="2025-06-17T00:00:00"/>
        <d v="2025-10-04T00:00:00"/>
        <d v="2025-01-11T00:00:00"/>
        <d v="2025-11-07T00:00:00"/>
        <d v="2025-12-13T00:00:00"/>
        <d v="2025-09-17T00:00:00"/>
        <d v="2025-10-31T00:00:00"/>
        <d v="2025-12-26T00:00:00"/>
        <d v="2025-09-01T00:00:00"/>
        <d v="2025-08-31T00:00:00"/>
        <d v="2025-03-03T00:00:00"/>
        <d v="2025-10-29T00:00:00"/>
        <d v="2025-12-29T00:00:00"/>
        <d v="2025-01-07T00:00:00"/>
        <d v="2025-10-13T00:00:00"/>
        <d v="2025-08-08T00:00:00"/>
        <d v="2025-02-11T00:00:00"/>
        <d v="2025-05-28T00:00:00"/>
        <d v="2025-04-12T00:00:00"/>
        <d v="2025-04-03T00:00:00"/>
        <d v="2025-06-18T00:00:00"/>
        <d v="2025-06-15T00:00:00"/>
        <d v="2025-04-07T00:00:00"/>
        <d v="2025-12-24T00:00:00"/>
        <d v="2025-02-17T00:00:00"/>
        <d v="2025-12-28T00:00:00"/>
        <d v="2025-03-11T00:00:00"/>
        <d v="2025-06-02T00:00:00"/>
        <d v="2025-06-12T00:00:00"/>
        <d v="2025-03-06T00:00:00"/>
        <d v="2025-03-15T00:00:00"/>
        <d v="2025-03-27T00:00:00"/>
        <d v="2025-07-30T00:00:00"/>
        <d v="2025-02-07T00:00:00"/>
        <d v="2025-01-05T00:00:00"/>
        <d v="2025-02-19T00:00:00"/>
        <d v="2025-08-01T00:00:00"/>
        <d v="2025-09-04T00:00:00"/>
        <d v="2025-12-12T00:00:00"/>
        <d v="2025-07-08T00:00:00"/>
        <d v="2025-11-14T00:00:00"/>
        <d v="2025-07-29T00:00:00"/>
        <d v="2025-08-21T00:00:00"/>
        <d v="2025-02-20T00:00:00"/>
        <d v="2025-02-16T00:00:00"/>
        <d v="2025-02-05T00:00:00"/>
        <d v="2025-05-22T00:00:00"/>
        <d v="2025-07-03T00:00:00"/>
        <d v="2025-08-23T00:00:00"/>
        <d v="2025-05-31T00:00:00"/>
        <d v="2025-04-21T00:00:00"/>
        <d v="2025-12-07T00:00:00"/>
        <d v="2025-07-10T00:00:00"/>
        <d v="2025-01-27T00:00:00"/>
        <d v="2025-06-29T00:00:00"/>
        <d v="2025-09-29T00:00:00"/>
        <d v="2025-05-20T00:00:00"/>
        <d v="2025-07-23T00:00:00"/>
        <d v="2025-08-12T00:00:00"/>
        <d v="2025-03-28T00:00:00"/>
        <d v="2025-02-22T00:00:00"/>
        <d v="2025-08-14T00:00:00"/>
        <d v="2025-01-20T00:00:00"/>
        <d v="2025-10-25T00:00:00"/>
        <d v="2025-09-14T00:00:00"/>
        <d v="2025-05-07T00:00:00"/>
        <d v="2025-12-14T00:00:00"/>
        <d v="2025-04-26T00:00:00"/>
        <d v="2025-12-05T00:00:00"/>
        <d v="2025-08-13T00:00:00"/>
        <d v="2025-10-01T00:00:00"/>
        <d v="2025-05-25T00:00:00"/>
        <d v="2025-08-19T00:00:00"/>
        <d v="2025-01-28T00:00:00"/>
        <d v="2025-03-12T00:00:00"/>
        <d v="2025-01-10T00:00:00"/>
        <d v="2025-03-04T00:00:00"/>
        <d v="2025-11-20T00:00:00"/>
        <d v="2025-08-29T00:00:00"/>
        <d v="2025-06-20T00:00:00"/>
        <d v="2025-04-04T00:00:00"/>
        <d v="2025-06-08T00:00:00"/>
        <d v="2025-12-21T00:00:00"/>
        <d v="2025-08-17T00:00:00"/>
        <d v="2025-12-10T00:00:00"/>
        <d v="2025-04-06T00:00:00"/>
        <d v="2025-09-09T00:00:00"/>
        <d v="2025-06-27T00:00:00"/>
        <d v="2025-09-18T00:00:00"/>
        <d v="2025-10-10T00:00:00"/>
        <d v="2025-10-28T00:00:00"/>
        <d v="2025-03-24T00:00:00"/>
        <d v="2025-12-04T00:00:00"/>
        <d v="2025-10-23T00:00:00"/>
        <d v="2025-08-26T00:00:00"/>
        <d v="2025-11-12T00:00:00"/>
        <d v="2025-09-21T00:00:00"/>
        <d v="2025-06-30T00:00:00"/>
        <d v="2025-03-10T00:00:00"/>
        <d v="2025-07-21T00:00:00"/>
        <d v="2025-06-13T00:00:00"/>
        <d v="2025-11-19T00:00:00"/>
        <d v="2025-10-07T00:00:00"/>
        <d v="2025-06-28T00:00:00"/>
        <d v="2025-03-16T00:00:00"/>
        <d v="2025-11-23T00:00:00"/>
        <d v="2025-07-28T00:00:00"/>
        <d v="2025-02-24T00:00:00"/>
        <d v="2025-10-18T00:00:00"/>
        <d v="2025-07-27T00:00:00"/>
        <d v="2025-11-11T00:00:00"/>
        <d v="2025-12-27T00:00:00"/>
        <d v="2025-03-09T00:00:00"/>
        <d v="2025-04-22T00:00:00"/>
        <d v="2025-05-27T00:00:00"/>
        <d v="2025-09-28T00:00:00"/>
        <d v="2025-12-11T00:00:00"/>
        <d v="2025-09-15T00:00:00"/>
        <d v="2025-03-18T00:00:00"/>
        <d v="2025-10-15T00:00:00"/>
        <d v="2025-03-02T00:00:00"/>
        <d v="2025-04-15T00:00:00"/>
        <d v="2025-08-02T00:00:00"/>
        <d v="2025-04-05T00:00:00"/>
        <d v="2025-07-31T00:00:00"/>
        <d v="2025-05-21T00:00:00"/>
        <d v="2025-09-26T00:00:00"/>
        <d v="2025-10-17T00:00:00"/>
        <d v="2025-02-18T00:00:00"/>
        <d v="2025-12-17T00:00:00"/>
        <d v="2025-11-21T00:00:00"/>
        <d v="2025-07-14T00:00:00"/>
        <d v="2025-07-19T00:00:00"/>
        <d v="2025-02-09T00:00:00"/>
        <d v="2025-07-22T00:00:00"/>
        <d v="2025-06-03T00:00:00"/>
        <d v="2025-10-09T00:00:00"/>
        <d v="2025-09-13T00:00:00"/>
        <d v="2025-10-26T00:00:00"/>
        <d v="2025-07-20T00:00:00"/>
        <d v="2025-03-01T00:00:00"/>
        <d v="2025-03-26T00:00:00"/>
        <d v="2025-01-03T00:00:00"/>
        <d v="2025-07-07T00:00:00"/>
        <d v="2025-02-13T00:00:00"/>
        <d v="2025-09-11T00:00:00"/>
        <d v="2025-08-20T00:00:00"/>
        <d v="2025-09-07T00:00:00"/>
        <d v="2025-03-05T00:00:00"/>
        <d v="2025-03-19T00:00:00"/>
        <d v="2025-11-08T00:00:00"/>
        <d v="2025-12-16T00:00:00"/>
        <d v="2025-11-29T00:00:00"/>
        <d v="2025-09-12T00:00:00"/>
        <d v="2025-08-22T00:00:00"/>
        <d v="2025-08-27T00:00:00"/>
        <d v="2025-11-15T00:00:00"/>
        <d v="2025-01-04T00:00:00"/>
        <d v="2025-07-12T00:00:00"/>
        <d v="2025-05-24T00:00:00"/>
        <d v="2025-05-14T00:00:00"/>
        <d v="2025-03-31T00:00:00"/>
        <d v="2025-08-07T00:00:00"/>
        <d v="2025-11-28T00:00:00"/>
        <d v="2025-08-30T00:00:00"/>
        <d v="2025-01-29T00:00:00"/>
        <d v="2025-05-02T00:00:00"/>
        <d v="2025-03-14T00:00:00"/>
        <d v="2025-04-01T00:00:00"/>
        <d v="2025-07-06T00:00:00"/>
        <d v="2025-04-25T00:00:00"/>
        <d v="2025-01-06T00:00:00"/>
        <d v="2025-08-03T00:00:00"/>
        <d v="2025-12-18T00:00:00"/>
        <d v="2025-03-29T00:00:00"/>
        <d v="2025-01-16T00:00:00"/>
        <d v="2025-04-16T00:00:00"/>
        <d v="2025-05-18T00:00:00"/>
        <d v="2025-10-11T00:00:00"/>
        <d v="2025-07-18T00:00:00"/>
        <d v="2025-09-25T00:00:00"/>
        <d v="2025-02-21T00:00:00"/>
        <d v="2025-04-09T00:00:00"/>
        <d v="2025-10-20T00:00:00"/>
        <d v="2025-12-30T00:00:00"/>
        <d v="2025-01-14T00:00:00"/>
        <d v="2025-06-25T00:00:00"/>
        <d v="2025-06-21T00:00:00"/>
        <d v="2025-06-14T00:00:00"/>
        <d v="2025-03-08T00:00:00"/>
        <d v="2025-08-04T00:00:00"/>
        <d v="2025-11-13T00:00:00"/>
        <d v="2025-01-31T00:00:00"/>
        <d v="2025-06-11T00:00:00"/>
        <d v="2025-06-24T00:00:00"/>
        <d v="2025-09-05T00:00:00"/>
        <d v="2025-11-04T00:00:00"/>
        <d v="2025-12-31T00:00:00"/>
        <d v="2025-02-01T00:00:00"/>
        <d v="2025-08-18T00:00:00"/>
        <d v="2025-08-11T00:00:00"/>
        <d v="2025-04-02T00:00:00"/>
        <d v="2025-04-10T00:00:00"/>
        <d v="2025-04-11T00:00:00"/>
        <d v="2025-01-21T00:00:00"/>
        <d v="2025-04-28T00:00:00"/>
        <d v="2025-03-07T00:00:00"/>
        <d v="2025-02-25T00:00:00"/>
        <d v="2025-05-26T00:00:00"/>
        <d v="2025-10-02T00:00:00"/>
        <d v="2025-02-15T00:00:00"/>
        <d v="2025-02-14T00:00:00"/>
        <d v="2025-07-26T00:00:00"/>
        <d v="2025-05-12T00:00:00"/>
        <d v="2025-12-19T00:00:00"/>
        <d v="2025-08-10T00:00:00"/>
        <d v="2025-07-15T00:00:00"/>
        <d v="2025-01-12T00:00:00"/>
        <d v="2025-03-21T00:00:00"/>
      </sharedItems>
      <fieldGroup base="1">
        <rangePr groupBy="months" startDate="2025-01-03T00:00:00" endDate="2026-01-01T00:00:00"/>
        <groupItems count="14">
          <s v="&lt;1/3/2025"/>
          <s v="Jan"/>
          <s v="Feb"/>
          <s v="Mar"/>
          <s v="Apr"/>
          <s v="May"/>
          <s v="Jun"/>
          <s v="Jul"/>
          <s v="Aug"/>
          <s v="Sep"/>
          <s v="Oct"/>
          <s v="Nov"/>
          <s v="Dec"/>
          <s v="&gt;1/1/2026"/>
        </groupItems>
      </fieldGroup>
    </cacheField>
    <cacheField name="Customer ID" numFmtId="0">
      <sharedItems/>
    </cacheField>
    <cacheField name="Customer Type" numFmtId="0">
      <sharedItems count="2">
        <s v="Returning"/>
        <s v="New"/>
      </sharedItems>
    </cacheField>
    <cacheField name="Product" numFmtId="0">
      <sharedItems count="8">
        <s v="Toyota Corolla"/>
        <s v="Lexus RX"/>
        <s v="Hyundai Tucson"/>
        <s v="Honda Accord"/>
        <s v="Toyota Camry"/>
        <s v="Toyota Highlander"/>
        <s v="Mercedes C-Class"/>
        <s v="Kia Sportage"/>
      </sharedItems>
    </cacheField>
    <cacheField name="Category" numFmtId="0">
      <sharedItems count="3">
        <s v="Sedan"/>
        <s v="SUV"/>
        <s v="Luxury"/>
      </sharedItems>
    </cacheField>
    <cacheField name="Region" numFmtId="0">
      <sharedItems count="5">
        <s v="Lagos"/>
        <s v="Rivers"/>
        <s v="Oyo"/>
        <s v="Ogun"/>
        <s v="Abuja"/>
      </sharedItems>
    </cacheField>
    <cacheField name="Sales Rep" numFmtId="0">
      <sharedItems count="6">
        <s v="John"/>
        <s v="Fatima"/>
        <s v="David"/>
        <s v="Aisha"/>
        <s v="Musa"/>
        <s v="Emeka"/>
      </sharedItems>
    </cacheField>
    <cacheField name="Quantity" numFmtId="0">
      <sharedItems containsSemiMixedTypes="0" containsString="0" containsNumber="1" containsInteger="1" minValue="1" maxValue="3"/>
    </cacheField>
    <cacheField name="Sales" numFmtId="165">
      <sharedItems containsSemiMixedTypes="0" containsString="0" containsNumber="1" containsInteger="1" minValue="12355000" maxValue="192177000" count="496">
        <n v="14142000"/>
        <n v="18329000"/>
        <n v="108019000"/>
        <n v="12762000"/>
        <n v="18992000"/>
        <n v="50527000"/>
        <n v="27265000"/>
        <n v="26829000"/>
        <n v="25409000"/>
        <n v="43193000"/>
        <n v="27127000"/>
        <n v="43036000"/>
        <n v="62423000"/>
        <n v="20984000"/>
        <n v="56176000"/>
        <n v="20846000"/>
        <n v="24275000"/>
        <n v="87593000"/>
        <n v="25669000"/>
        <n v="12543000"/>
        <n v="22862000"/>
        <n v="21650000"/>
        <n v="28091000"/>
        <n v="38260000"/>
        <n v="21797000"/>
        <n v="59066000"/>
        <n v="82600000"/>
        <n v="64400000"/>
        <n v="83124000"/>
        <n v="22188000"/>
        <n v="49345000"/>
        <n v="29134000"/>
        <n v="17557000"/>
        <n v="29140000"/>
        <n v="18233000"/>
        <n v="22958000"/>
        <n v="61780000"/>
        <n v="41502000"/>
        <n v="30021000"/>
        <n v="17726000"/>
        <n v="83834000"/>
        <n v="18760000"/>
        <n v="30219000"/>
        <n v="17655000"/>
        <n v="25349000"/>
        <n v="27853000"/>
        <n v="28015000"/>
        <n v="63297000"/>
        <n v="54120000"/>
        <n v="29572000"/>
        <n v="54615000"/>
        <n v="22729000"/>
        <n v="23331000"/>
        <n v="27797000"/>
        <n v="23832000"/>
        <n v="44653000"/>
        <n v="23248000"/>
        <n v="61046000"/>
        <n v="64214000"/>
        <n v="20295000"/>
        <n v="17081000"/>
        <n v="41059000"/>
        <n v="36900000"/>
        <n v="42494000"/>
        <n v="18453000"/>
        <n v="61227000"/>
        <n v="51681000"/>
        <n v="54222000"/>
        <n v="51073000"/>
        <n v="21226000"/>
        <n v="58078000"/>
        <n v="130490000"/>
        <n v="25527000"/>
        <n v="20968000"/>
        <n v="130540000"/>
        <n v="41451000"/>
        <n v="49906000"/>
        <n v="23264000"/>
        <n v="29532000"/>
        <n v="16926000"/>
        <n v="24705000"/>
        <n v="28039000"/>
        <n v="21550000"/>
        <n v="43795000"/>
        <n v="20795000"/>
        <n v="23451000"/>
        <n v="18928000"/>
        <n v="27144000"/>
        <n v="51868000"/>
        <n v="54283000"/>
        <n v="30299000"/>
        <n v="83079000"/>
        <n v="21867000"/>
        <n v="18187000"/>
        <n v="53595000"/>
        <n v="17110000"/>
        <n v="109579000"/>
        <n v="26527000"/>
        <n v="43534000"/>
        <n v="42026000"/>
        <n v="25044000"/>
        <n v="40861000"/>
        <n v="29261000"/>
        <n v="27111000"/>
        <n v="21707000"/>
        <n v="40694000"/>
        <n v="19140000"/>
        <n v="21941000"/>
        <n v="19193000"/>
        <n v="45960000"/>
        <n v="21726000"/>
        <n v="63862000"/>
        <n v="34954000"/>
        <n v="19250000"/>
        <n v="26771000"/>
        <n v="46866000"/>
        <n v="45048000"/>
        <n v="57509000"/>
        <n v="25097000"/>
        <n v="21397000"/>
        <n v="23104000"/>
        <n v="49617000"/>
        <n v="192177000"/>
        <n v="27061000"/>
        <n v="53624000"/>
        <n v="27760000"/>
        <n v="28547000"/>
        <n v="24312000"/>
        <n v="22333000"/>
        <n v="27691000"/>
        <n v="127835000"/>
        <n v="12858000"/>
        <n v="28161000"/>
        <n v="17111000"/>
        <n v="27201000"/>
        <n v="25948000"/>
        <n v="17810000"/>
        <n v="23315000"/>
        <n v="21344000"/>
        <n v="24195000"/>
        <n v="17374000"/>
        <n v="18699000"/>
        <n v="48642000"/>
        <n v="17563000"/>
        <n v="18942000"/>
        <n v="85868000"/>
        <n v="19024000"/>
        <n v="24463000"/>
        <n v="40788000"/>
        <n v="20913000"/>
        <n v="20146000"/>
        <n v="49027000"/>
        <n v="22934000"/>
        <n v="26208000"/>
        <n v="19189000"/>
        <n v="30139000"/>
        <n v="23066000"/>
        <n v="88050000"/>
        <n v="23387000"/>
        <n v="25191000"/>
        <n v="18865000"/>
        <n v="29484000"/>
        <n v="17990000"/>
        <n v="42461000"/>
        <n v="18151000"/>
        <n v="18669000"/>
        <n v="13265000"/>
        <n v="23988000"/>
        <n v="36427000"/>
        <n v="20356000"/>
        <n v="54296000"/>
        <n v="25966000"/>
        <n v="19256000"/>
        <n v="62728000"/>
        <n v="17816000"/>
        <n v="26174000"/>
        <n v="50650000"/>
        <n v="27430000"/>
        <n v="16917000"/>
        <n v="27667000"/>
        <n v="17852000"/>
        <n v="18010000"/>
        <n v="19051000"/>
        <n v="28151000"/>
        <n v="27136000"/>
        <n v="45585000"/>
        <n v="29080000"/>
        <n v="36641000"/>
        <n v="29452000"/>
        <n v="49708000"/>
        <n v="45448000"/>
        <n v="49489000"/>
        <n v="13602000"/>
        <n v="21727000"/>
        <n v="17575000"/>
        <n v="26170000"/>
        <n v="18135000"/>
        <n v="12687000"/>
        <n v="29286000"/>
        <n v="86800000"/>
        <n v="20601000"/>
        <n v="25612000"/>
        <n v="156341000"/>
        <n v="27126000"/>
        <n v="88942000"/>
        <n v="30261000"/>
        <n v="28073000"/>
        <n v="27195000"/>
        <n v="23403000"/>
        <n v="62499000"/>
        <n v="37438000"/>
        <n v="25282000"/>
        <n v="22514000"/>
        <n v="28490000"/>
        <n v="62405000"/>
        <n v="19110000"/>
        <n v="30550000"/>
        <n v="126890000"/>
        <n v="23350000"/>
        <n v="24683000"/>
        <n v="27765000"/>
        <n v="16366000"/>
        <n v="52006000"/>
        <n v="40776000"/>
        <n v="28280000"/>
        <n v="26768000"/>
        <n v="37379000"/>
        <n v="25444000"/>
        <n v="49928000"/>
        <n v="23815000"/>
        <n v="44655000"/>
        <n v="15741000"/>
        <n v="84461000"/>
        <n v="27683000"/>
        <n v="26248000"/>
        <n v="42528000"/>
        <n v="84563000"/>
        <n v="49461000"/>
        <n v="25811000"/>
        <n v="25672000"/>
        <n v="28901000"/>
        <n v="21161000"/>
        <n v="20848000"/>
        <n v="17273000"/>
        <n v="20725000"/>
        <n v="44321000"/>
        <n v="18828000"/>
        <n v="29858000"/>
        <n v="24943000"/>
        <n v="23258000"/>
        <n v="20774000"/>
        <n v="22800000"/>
        <n v="28315000"/>
        <n v="27559000"/>
        <n v="23049000"/>
        <n v="18589000"/>
        <n v="25972000"/>
        <n v="49058000"/>
        <n v="30129000"/>
        <n v="26609000"/>
        <n v="26618000"/>
        <n v="26045000"/>
        <n v="18715000"/>
        <n v="26167000"/>
        <n v="34821000"/>
        <n v="17281000"/>
        <n v="54586000"/>
        <n v="18516000"/>
        <n v="18668000"/>
        <n v="49899000"/>
        <n v="23630000"/>
        <n v="22699000"/>
        <n v="22258000"/>
        <n v="22056000"/>
        <n v="25083000"/>
        <n v="27882000"/>
        <n v="87742000"/>
        <n v="58267000"/>
        <n v="43424000"/>
        <n v="58170000"/>
        <n v="22638000"/>
        <n v="44753000"/>
        <n v="45060000"/>
        <n v="30263000"/>
        <n v="16158000"/>
        <n v="33043000"/>
        <n v="17059000"/>
        <n v="24670000"/>
        <n v="17863000"/>
        <n v="27434000"/>
        <n v="53229000"/>
        <n v="45720000"/>
        <n v="23517000"/>
        <n v="13285000"/>
        <n v="42819000"/>
        <n v="40465000"/>
        <n v="54328000"/>
        <n v="61807000"/>
        <n v="21301000"/>
        <n v="25764000"/>
        <n v="24541000"/>
        <n v="60654000"/>
        <n v="21585000"/>
        <n v="51272000"/>
        <n v="51688000"/>
        <n v="27543000"/>
        <n v="51765000"/>
        <n v="44099000"/>
        <n v="22741000"/>
        <n v="23409000"/>
        <n v="100016000"/>
        <n v="29987000"/>
        <n v="42764000"/>
        <n v="40714000"/>
        <n v="20927000"/>
        <n v="74998000"/>
        <n v="22499000"/>
        <n v="24213000"/>
        <n v="36272000"/>
        <n v="52881000"/>
        <n v="23059000"/>
        <n v="23073000"/>
        <n v="27374000"/>
        <n v="23334000"/>
        <n v="18671000"/>
        <n v="17384000"/>
        <n v="27029000"/>
        <n v="18263000"/>
        <n v="22153000"/>
        <n v="17855000"/>
        <n v="51036000"/>
        <n v="137594000"/>
        <n v="25626000"/>
        <n v="45529000"/>
        <n v="136045000"/>
        <n v="26793000"/>
        <n v="20743000"/>
        <n v="43623000"/>
        <n v="63161000"/>
        <n v="38368000"/>
        <n v="49861000"/>
        <n v="27741000"/>
        <n v="21763000"/>
        <n v="26914000"/>
        <n v="23374000"/>
        <n v="26406000"/>
        <n v="44113000"/>
        <n v="17609000"/>
        <n v="18894000"/>
        <n v="69675000"/>
        <n v="40961000"/>
        <n v="19180000"/>
        <n v="13028000"/>
        <n v="42316000"/>
        <n v="27784000"/>
        <n v="86650000"/>
        <n v="24328000"/>
        <n v="50598000"/>
        <n v="18513000"/>
        <n v="17792000"/>
        <n v="59723000"/>
        <n v="45526000"/>
        <n v="23819000"/>
        <n v="20775000"/>
        <n v="49087000"/>
        <n v="54980000"/>
        <n v="23262000"/>
        <n v="54294000"/>
        <n v="60105000"/>
        <n v="137468000"/>
        <n v="42863000"/>
        <n v="54675000"/>
        <n v="60659000"/>
        <n v="18006000"/>
        <n v="21046000"/>
        <n v="46260000"/>
        <n v="53169000"/>
        <n v="20835000"/>
        <n v="23146000"/>
        <n v="15359000"/>
        <n v="21775000"/>
        <n v="16252000"/>
        <n v="17073000"/>
        <n v="78272000"/>
        <n v="29510000"/>
        <n v="24990000"/>
        <n v="26544000"/>
        <n v="62143000"/>
        <n v="14256000"/>
        <n v="28046000"/>
        <n v="18076000"/>
        <n v="23378000"/>
        <n v="27522000"/>
        <n v="22777000"/>
        <n v="59507000"/>
        <n v="23286000"/>
        <n v="50611000"/>
        <n v="24953000"/>
        <n v="57427000"/>
        <n v="46003000"/>
        <n v="22086000"/>
        <n v="60981000"/>
        <n v="12355000"/>
        <n v="51275000"/>
        <n v="27379000"/>
        <n v="19294000"/>
        <n v="23353000"/>
        <n v="24922000"/>
        <n v="55396000"/>
        <n v="45317000"/>
        <n v="70127000"/>
        <n v="15740000"/>
        <n v="23214000"/>
        <n v="18451000"/>
        <n v="23236000"/>
        <n v="17388000"/>
        <n v="22661000"/>
        <n v="36806000"/>
        <n v="22259000"/>
        <n v="19898000"/>
        <n v="17327000"/>
        <n v="17694000"/>
        <n v="46999000"/>
        <n v="21136000"/>
        <n v="27503000"/>
        <n v="28075000"/>
        <n v="28050000"/>
        <n v="18123000"/>
        <n v="41612000"/>
        <n v="58559000"/>
        <n v="23270000"/>
        <n v="13263000"/>
        <n v="27273000"/>
        <n v="23246000"/>
        <n v="30800000"/>
        <n v="17842000"/>
        <n v="21206000"/>
        <n v="47047000"/>
        <n v="56226000"/>
        <n v="25963000"/>
        <n v="18651000"/>
        <n v="25285000"/>
        <n v="27069000"/>
        <n v="23373000"/>
        <n v="27868000"/>
        <n v="62209000"/>
        <n v="45569000"/>
        <n v="28709000"/>
        <n v="22171000"/>
        <n v="18449000"/>
        <n v="26571000"/>
        <n v="17357000"/>
        <n v="16717000"/>
        <n v="40639000"/>
        <n v="44442000"/>
        <n v="18905000"/>
        <n v="55115000"/>
        <n v="37043000"/>
        <n v="14100000"/>
        <n v="57684000"/>
        <n v="31907000"/>
        <n v="40451000"/>
        <n v="26318000"/>
        <n v="27255000"/>
        <n v="23065000"/>
        <n v="62383000"/>
        <n v="17008000"/>
        <n v="21181000"/>
        <n v="17462000"/>
        <n v="21810000"/>
        <n v="56159000"/>
        <n v="41015000"/>
        <n v="22665000"/>
        <n v="122324000"/>
        <n v="57407000"/>
        <n v="64726000"/>
        <n v="44214000"/>
        <n v="27368000"/>
        <n v="24065000"/>
        <n v="17851000"/>
        <n v="37471000"/>
        <n v="17156000"/>
        <n v="27471000"/>
        <n v="28924000"/>
        <n v="22792000"/>
        <n v="41745000"/>
        <n v="18394000"/>
        <n v="21027000"/>
        <n v="49328000"/>
        <n v="90547000"/>
        <n v="23272000"/>
        <n v="56271000"/>
        <n v="18661000"/>
        <n v="22885000"/>
        <n v="17457000"/>
        <n v="35362000"/>
      </sharedItems>
    </cacheField>
    <cacheField name="Cost" numFmtId="165">
      <sharedItems containsSemiMixedTypes="0" containsString="0" containsNumber="1" containsInteger="1" minValue="13785000" maxValue="150383000"/>
    </cacheField>
    <cacheField name="Profit" numFmtId="165">
      <sharedItems containsSemiMixedTypes="0" containsString="0" containsNumber="1" containsInteger="1" minValue="-11828000" maxValue="41794000"/>
    </cacheField>
    <cacheField name="Order Status" numFmtId="0">
      <sharedItems count="2">
        <s v="Completed"/>
        <s v="Cancelle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0001"/>
    <x v="0"/>
    <s v="CUST-1140"/>
    <x v="0"/>
    <x v="0"/>
    <x v="0"/>
    <x v="0"/>
    <x v="0"/>
    <n v="1"/>
    <x v="0"/>
    <n v="13924000"/>
    <n v="218000"/>
    <x v="0"/>
  </r>
  <r>
    <s v="ORD-0002"/>
    <x v="1"/>
    <s v="CUST-1180"/>
    <x v="1"/>
    <x v="0"/>
    <x v="0"/>
    <x v="1"/>
    <x v="1"/>
    <n v="1"/>
    <x v="1"/>
    <n v="14589000"/>
    <n v="3740000"/>
    <x v="0"/>
  </r>
  <r>
    <s v="ORD-0003"/>
    <x v="2"/>
    <s v="CUST-1072"/>
    <x v="1"/>
    <x v="1"/>
    <x v="1"/>
    <x v="2"/>
    <x v="2"/>
    <n v="2"/>
    <x v="2"/>
    <n v="84039000"/>
    <n v="23980000"/>
    <x v="0"/>
  </r>
  <r>
    <s v="ORD-0004"/>
    <x v="3"/>
    <s v="CUST-1118"/>
    <x v="1"/>
    <x v="0"/>
    <x v="0"/>
    <x v="1"/>
    <x v="3"/>
    <n v="1"/>
    <x v="3"/>
    <n v="14159000"/>
    <n v="-1397000"/>
    <x v="0"/>
  </r>
  <r>
    <s v="ORD-0005"/>
    <x v="4"/>
    <s v="CUST-1018"/>
    <x v="1"/>
    <x v="0"/>
    <x v="0"/>
    <x v="0"/>
    <x v="4"/>
    <n v="1"/>
    <x v="4"/>
    <n v="14299000"/>
    <n v="4693000"/>
    <x v="0"/>
  </r>
  <r>
    <s v="ORD-0006"/>
    <x v="5"/>
    <s v="CUST-1214"/>
    <x v="0"/>
    <x v="2"/>
    <x v="1"/>
    <x v="3"/>
    <x v="2"/>
    <n v="2"/>
    <x v="5"/>
    <n v="39125000"/>
    <n v="11402000"/>
    <x v="0"/>
  </r>
  <r>
    <s v="ORD-0007"/>
    <x v="6"/>
    <s v="CUST-1137"/>
    <x v="0"/>
    <x v="3"/>
    <x v="0"/>
    <x v="2"/>
    <x v="2"/>
    <n v="1"/>
    <x v="6"/>
    <n v="20866000"/>
    <n v="6399000"/>
    <x v="0"/>
  </r>
  <r>
    <s v="ORD-0008"/>
    <x v="7"/>
    <s v="CUST-1199"/>
    <x v="0"/>
    <x v="3"/>
    <x v="0"/>
    <x v="0"/>
    <x v="2"/>
    <n v="1"/>
    <x v="7"/>
    <n v="22202000"/>
    <n v="4627000"/>
    <x v="0"/>
  </r>
  <r>
    <s v="ORD-0009"/>
    <x v="8"/>
    <s v="CUST-1055"/>
    <x v="1"/>
    <x v="2"/>
    <x v="1"/>
    <x v="4"/>
    <x v="1"/>
    <n v="1"/>
    <x v="8"/>
    <n v="19933000"/>
    <n v="5476000"/>
    <x v="0"/>
  </r>
  <r>
    <s v="ORD-0010"/>
    <x v="9"/>
    <s v="CUST-1230"/>
    <x v="1"/>
    <x v="1"/>
    <x v="1"/>
    <x v="1"/>
    <x v="1"/>
    <n v="1"/>
    <x v="9"/>
    <n v="42468000"/>
    <n v="725000"/>
    <x v="0"/>
  </r>
  <r>
    <s v="ORD-0011"/>
    <x v="10"/>
    <s v="CUST-1161"/>
    <x v="0"/>
    <x v="4"/>
    <x v="0"/>
    <x v="2"/>
    <x v="4"/>
    <n v="1"/>
    <x v="10"/>
    <n v="22149000"/>
    <n v="4978000"/>
    <x v="0"/>
  </r>
  <r>
    <s v="ORD-0012"/>
    <x v="1"/>
    <s v="CUST-1242"/>
    <x v="1"/>
    <x v="5"/>
    <x v="1"/>
    <x v="0"/>
    <x v="4"/>
    <n v="1"/>
    <x v="11"/>
    <n v="34618000"/>
    <n v="8418000"/>
    <x v="0"/>
  </r>
  <r>
    <s v="ORD-0013"/>
    <x v="11"/>
    <s v="CUST-1117"/>
    <x v="1"/>
    <x v="6"/>
    <x v="2"/>
    <x v="0"/>
    <x v="4"/>
    <n v="1"/>
    <x v="12"/>
    <n v="48538000"/>
    <n v="13885000"/>
    <x v="0"/>
  </r>
  <r>
    <s v="ORD-0014"/>
    <x v="12"/>
    <s v="CUST-1130"/>
    <x v="0"/>
    <x v="7"/>
    <x v="1"/>
    <x v="1"/>
    <x v="2"/>
    <n v="1"/>
    <x v="13"/>
    <n v="18529000"/>
    <n v="2455000"/>
    <x v="0"/>
  </r>
  <r>
    <s v="ORD-0015"/>
    <x v="13"/>
    <s v="CUST-1126"/>
    <x v="1"/>
    <x v="3"/>
    <x v="0"/>
    <x v="0"/>
    <x v="3"/>
    <n v="2"/>
    <x v="14"/>
    <n v="45425000"/>
    <n v="10751000"/>
    <x v="0"/>
  </r>
  <r>
    <s v="ORD-0016"/>
    <x v="10"/>
    <s v="CUST-1022"/>
    <x v="0"/>
    <x v="7"/>
    <x v="1"/>
    <x v="4"/>
    <x v="3"/>
    <n v="1"/>
    <x v="15"/>
    <n v="18992000"/>
    <n v="1854000"/>
    <x v="1"/>
  </r>
  <r>
    <s v="ORD-0017"/>
    <x v="14"/>
    <s v="CUST-1109"/>
    <x v="1"/>
    <x v="2"/>
    <x v="1"/>
    <x v="2"/>
    <x v="0"/>
    <n v="1"/>
    <x v="16"/>
    <n v="19335000"/>
    <n v="4940000"/>
    <x v="0"/>
  </r>
  <r>
    <s v="ORD-0018"/>
    <x v="15"/>
    <s v="CUST-1031"/>
    <x v="1"/>
    <x v="4"/>
    <x v="0"/>
    <x v="2"/>
    <x v="2"/>
    <n v="3"/>
    <x v="17"/>
    <n v="69169000"/>
    <n v="18424000"/>
    <x v="0"/>
  </r>
  <r>
    <s v="ORD-0019"/>
    <x v="16"/>
    <s v="CUST-1059"/>
    <x v="0"/>
    <x v="3"/>
    <x v="0"/>
    <x v="0"/>
    <x v="3"/>
    <n v="1"/>
    <x v="18"/>
    <n v="20865000"/>
    <n v="4804000"/>
    <x v="0"/>
  </r>
  <r>
    <s v="ORD-0020"/>
    <x v="17"/>
    <s v="CUST-1147"/>
    <x v="1"/>
    <x v="0"/>
    <x v="0"/>
    <x v="1"/>
    <x v="1"/>
    <n v="1"/>
    <x v="19"/>
    <n v="13967000"/>
    <n v="-1424000"/>
    <x v="0"/>
  </r>
  <r>
    <s v="ORD-0021"/>
    <x v="18"/>
    <s v="CUST-1120"/>
    <x v="0"/>
    <x v="2"/>
    <x v="1"/>
    <x v="0"/>
    <x v="4"/>
    <n v="1"/>
    <x v="20"/>
    <n v="19663000"/>
    <n v="3199000"/>
    <x v="0"/>
  </r>
  <r>
    <s v="ORD-0022"/>
    <x v="19"/>
    <s v="CUST-1049"/>
    <x v="1"/>
    <x v="7"/>
    <x v="1"/>
    <x v="1"/>
    <x v="1"/>
    <n v="1"/>
    <x v="21"/>
    <n v="18962000"/>
    <n v="2688000"/>
    <x v="0"/>
  </r>
  <r>
    <s v="ORD-0023"/>
    <x v="20"/>
    <s v="CUST-1141"/>
    <x v="1"/>
    <x v="3"/>
    <x v="0"/>
    <x v="0"/>
    <x v="3"/>
    <n v="1"/>
    <x v="22"/>
    <n v="21676000"/>
    <n v="6415000"/>
    <x v="0"/>
  </r>
  <r>
    <s v="ORD-0024"/>
    <x v="21"/>
    <s v="CUST-1125"/>
    <x v="0"/>
    <x v="7"/>
    <x v="1"/>
    <x v="4"/>
    <x v="2"/>
    <n v="2"/>
    <x v="23"/>
    <n v="37876000"/>
    <n v="384000"/>
    <x v="0"/>
  </r>
  <r>
    <s v="ORD-0025"/>
    <x v="22"/>
    <s v="CUST-1074"/>
    <x v="1"/>
    <x v="7"/>
    <x v="1"/>
    <x v="4"/>
    <x v="4"/>
    <n v="1"/>
    <x v="24"/>
    <n v="19081000"/>
    <n v="2716000"/>
    <x v="0"/>
  </r>
  <r>
    <s v="ORD-0026"/>
    <x v="23"/>
    <s v="CUST-1016"/>
    <x v="1"/>
    <x v="6"/>
    <x v="2"/>
    <x v="3"/>
    <x v="3"/>
    <n v="1"/>
    <x v="25"/>
    <n v="48270000"/>
    <n v="10796000"/>
    <x v="0"/>
  </r>
  <r>
    <s v="ORD-0027"/>
    <x v="24"/>
    <s v="CUST-1048"/>
    <x v="1"/>
    <x v="5"/>
    <x v="1"/>
    <x v="0"/>
    <x v="0"/>
    <n v="2"/>
    <x v="26"/>
    <n v="74272000"/>
    <n v="8328000"/>
    <x v="0"/>
  </r>
  <r>
    <s v="ORD-0028"/>
    <x v="25"/>
    <s v="CUST-1159"/>
    <x v="1"/>
    <x v="6"/>
    <x v="2"/>
    <x v="0"/>
    <x v="1"/>
    <n v="1"/>
    <x v="27"/>
    <n v="49218000"/>
    <n v="15182000"/>
    <x v="0"/>
  </r>
  <r>
    <s v="ORD-0029"/>
    <x v="26"/>
    <s v="CUST-1102"/>
    <x v="1"/>
    <x v="5"/>
    <x v="1"/>
    <x v="2"/>
    <x v="4"/>
    <n v="2"/>
    <x v="28"/>
    <n v="72535000"/>
    <n v="10589000"/>
    <x v="0"/>
  </r>
  <r>
    <s v="ORD-0030"/>
    <x v="27"/>
    <s v="CUST-1026"/>
    <x v="1"/>
    <x v="4"/>
    <x v="0"/>
    <x v="0"/>
    <x v="0"/>
    <n v="1"/>
    <x v="29"/>
    <n v="23103000"/>
    <n v="-915000"/>
    <x v="1"/>
  </r>
  <r>
    <s v="ORD-0031"/>
    <x v="28"/>
    <s v="CUST-1113"/>
    <x v="1"/>
    <x v="1"/>
    <x v="1"/>
    <x v="1"/>
    <x v="4"/>
    <n v="1"/>
    <x v="30"/>
    <n v="42388000"/>
    <n v="6957000"/>
    <x v="0"/>
  </r>
  <r>
    <s v="ORD-0032"/>
    <x v="29"/>
    <s v="CUST-1170"/>
    <x v="0"/>
    <x v="5"/>
    <x v="1"/>
    <x v="0"/>
    <x v="2"/>
    <n v="1"/>
    <x v="31"/>
    <n v="36626000"/>
    <n v="-7492000"/>
    <x v="0"/>
  </r>
  <r>
    <s v="ORD-0033"/>
    <x v="30"/>
    <s v="CUST-1053"/>
    <x v="1"/>
    <x v="0"/>
    <x v="0"/>
    <x v="3"/>
    <x v="0"/>
    <n v="1"/>
    <x v="32"/>
    <n v="14652000"/>
    <n v="2905000"/>
    <x v="0"/>
  </r>
  <r>
    <s v="ORD-0034"/>
    <x v="31"/>
    <s v="CUST-1086"/>
    <x v="0"/>
    <x v="4"/>
    <x v="0"/>
    <x v="2"/>
    <x v="4"/>
    <n v="1"/>
    <x v="33"/>
    <n v="23964000"/>
    <n v="5176000"/>
    <x v="0"/>
  </r>
  <r>
    <s v="ORD-0035"/>
    <x v="12"/>
    <s v="CUST-1177"/>
    <x v="1"/>
    <x v="0"/>
    <x v="0"/>
    <x v="2"/>
    <x v="0"/>
    <n v="1"/>
    <x v="34"/>
    <n v="13937000"/>
    <n v="4296000"/>
    <x v="1"/>
  </r>
  <r>
    <s v="ORD-0036"/>
    <x v="32"/>
    <s v="CUST-1204"/>
    <x v="0"/>
    <x v="2"/>
    <x v="1"/>
    <x v="0"/>
    <x v="5"/>
    <n v="1"/>
    <x v="35"/>
    <n v="19420000"/>
    <n v="3538000"/>
    <x v="0"/>
  </r>
  <r>
    <s v="ORD-0037"/>
    <x v="33"/>
    <s v="CUST-1192"/>
    <x v="0"/>
    <x v="6"/>
    <x v="2"/>
    <x v="2"/>
    <x v="2"/>
    <n v="1"/>
    <x v="36"/>
    <n v="52392000"/>
    <n v="9388000"/>
    <x v="1"/>
  </r>
  <r>
    <s v="ORD-0038"/>
    <x v="34"/>
    <s v="CUST-1239"/>
    <x v="0"/>
    <x v="7"/>
    <x v="1"/>
    <x v="4"/>
    <x v="4"/>
    <n v="2"/>
    <x v="37"/>
    <n v="37466000"/>
    <n v="4036000"/>
    <x v="0"/>
  </r>
  <r>
    <s v="ORD-0039"/>
    <x v="35"/>
    <s v="CUST-1210"/>
    <x v="0"/>
    <x v="4"/>
    <x v="0"/>
    <x v="4"/>
    <x v="5"/>
    <n v="1"/>
    <x v="38"/>
    <n v="24032000"/>
    <n v="5989000"/>
    <x v="0"/>
  </r>
  <r>
    <s v="ORD-0040"/>
    <x v="36"/>
    <s v="CUST-1018"/>
    <x v="0"/>
    <x v="2"/>
    <x v="1"/>
    <x v="3"/>
    <x v="5"/>
    <n v="1"/>
    <x v="39"/>
    <n v="19599000"/>
    <n v="-1873000"/>
    <x v="0"/>
  </r>
  <r>
    <s v="ORD-0041"/>
    <x v="37"/>
    <s v="CUST-1067"/>
    <x v="0"/>
    <x v="1"/>
    <x v="1"/>
    <x v="2"/>
    <x v="0"/>
    <n v="2"/>
    <x v="40"/>
    <n v="82890000"/>
    <n v="944000"/>
    <x v="0"/>
  </r>
  <r>
    <s v="ORD-0042"/>
    <x v="30"/>
    <s v="CUST-1030"/>
    <x v="0"/>
    <x v="0"/>
    <x v="0"/>
    <x v="4"/>
    <x v="0"/>
    <n v="1"/>
    <x v="41"/>
    <n v="14408000"/>
    <n v="4352000"/>
    <x v="1"/>
  </r>
  <r>
    <s v="ORD-0043"/>
    <x v="38"/>
    <s v="CUST-1190"/>
    <x v="0"/>
    <x v="4"/>
    <x v="0"/>
    <x v="2"/>
    <x v="5"/>
    <n v="1"/>
    <x v="42"/>
    <n v="23289000"/>
    <n v="6930000"/>
    <x v="0"/>
  </r>
  <r>
    <s v="ORD-0044"/>
    <x v="39"/>
    <s v="CUST-1077"/>
    <x v="0"/>
    <x v="0"/>
    <x v="0"/>
    <x v="1"/>
    <x v="5"/>
    <n v="1"/>
    <x v="43"/>
    <n v="15005000"/>
    <n v="2650000"/>
    <x v="0"/>
  </r>
  <r>
    <s v="ORD-0045"/>
    <x v="40"/>
    <s v="CUST-1174"/>
    <x v="1"/>
    <x v="3"/>
    <x v="0"/>
    <x v="2"/>
    <x v="0"/>
    <n v="1"/>
    <x v="44"/>
    <n v="21627000"/>
    <n v="3722000"/>
    <x v="1"/>
  </r>
  <r>
    <s v="ORD-0046"/>
    <x v="41"/>
    <s v="CUST-1168"/>
    <x v="1"/>
    <x v="4"/>
    <x v="0"/>
    <x v="3"/>
    <x v="1"/>
    <n v="1"/>
    <x v="45"/>
    <n v="23037000"/>
    <n v="4816000"/>
    <x v="0"/>
  </r>
  <r>
    <s v="ORD-0047"/>
    <x v="42"/>
    <s v="CUST-1022"/>
    <x v="1"/>
    <x v="3"/>
    <x v="0"/>
    <x v="3"/>
    <x v="0"/>
    <n v="1"/>
    <x v="46"/>
    <n v="22445000"/>
    <n v="5570000"/>
    <x v="0"/>
  </r>
  <r>
    <s v="ORD-0048"/>
    <x v="43"/>
    <s v="CUST-1051"/>
    <x v="1"/>
    <x v="6"/>
    <x v="2"/>
    <x v="2"/>
    <x v="3"/>
    <n v="1"/>
    <x v="47"/>
    <n v="51373000"/>
    <n v="11924000"/>
    <x v="0"/>
  </r>
  <r>
    <s v="ORD-0049"/>
    <x v="44"/>
    <s v="CUST-1050"/>
    <x v="1"/>
    <x v="4"/>
    <x v="0"/>
    <x v="4"/>
    <x v="1"/>
    <n v="2"/>
    <x v="48"/>
    <n v="46003000"/>
    <n v="8117000"/>
    <x v="0"/>
  </r>
  <r>
    <s v="ORD-0050"/>
    <x v="45"/>
    <s v="CUST-1109"/>
    <x v="0"/>
    <x v="4"/>
    <x v="0"/>
    <x v="2"/>
    <x v="2"/>
    <n v="1"/>
    <x v="49"/>
    <n v="23827000"/>
    <n v="5745000"/>
    <x v="0"/>
  </r>
  <r>
    <s v="ORD-0051"/>
    <x v="46"/>
    <s v="CUST-1171"/>
    <x v="1"/>
    <x v="1"/>
    <x v="1"/>
    <x v="1"/>
    <x v="0"/>
    <n v="1"/>
    <x v="50"/>
    <n v="43311000"/>
    <n v="11304000"/>
    <x v="0"/>
  </r>
  <r>
    <s v="ORD-0052"/>
    <x v="47"/>
    <s v="CUST-1233"/>
    <x v="0"/>
    <x v="3"/>
    <x v="0"/>
    <x v="1"/>
    <x v="1"/>
    <n v="1"/>
    <x v="51"/>
    <n v="22655000"/>
    <n v="74000"/>
    <x v="0"/>
  </r>
  <r>
    <s v="ORD-0053"/>
    <x v="48"/>
    <s v="CUST-1134"/>
    <x v="1"/>
    <x v="2"/>
    <x v="1"/>
    <x v="4"/>
    <x v="4"/>
    <n v="1"/>
    <x v="52"/>
    <n v="20073000"/>
    <n v="3258000"/>
    <x v="0"/>
  </r>
  <r>
    <s v="ORD-0054"/>
    <x v="49"/>
    <s v="CUST-1036"/>
    <x v="1"/>
    <x v="4"/>
    <x v="0"/>
    <x v="2"/>
    <x v="2"/>
    <n v="1"/>
    <x v="53"/>
    <n v="22782000"/>
    <n v="5015000"/>
    <x v="0"/>
  </r>
  <r>
    <s v="ORD-0055"/>
    <x v="50"/>
    <s v="CUST-1053"/>
    <x v="0"/>
    <x v="2"/>
    <x v="1"/>
    <x v="4"/>
    <x v="1"/>
    <n v="1"/>
    <x v="54"/>
    <n v="19884000"/>
    <n v="3948000"/>
    <x v="0"/>
  </r>
  <r>
    <s v="ORD-0056"/>
    <x v="51"/>
    <s v="CUST-1077"/>
    <x v="1"/>
    <x v="7"/>
    <x v="1"/>
    <x v="4"/>
    <x v="1"/>
    <n v="2"/>
    <x v="55"/>
    <n v="36516000"/>
    <n v="8137000"/>
    <x v="1"/>
  </r>
  <r>
    <s v="ORD-0057"/>
    <x v="52"/>
    <s v="CUST-1008"/>
    <x v="1"/>
    <x v="2"/>
    <x v="1"/>
    <x v="4"/>
    <x v="5"/>
    <n v="1"/>
    <x v="56"/>
    <n v="19244000"/>
    <n v="4004000"/>
    <x v="0"/>
  </r>
  <r>
    <s v="ORD-0058"/>
    <x v="53"/>
    <s v="CUST-1007"/>
    <x v="1"/>
    <x v="6"/>
    <x v="2"/>
    <x v="4"/>
    <x v="0"/>
    <n v="1"/>
    <x v="57"/>
    <n v="48620000"/>
    <n v="12426000"/>
    <x v="0"/>
  </r>
  <r>
    <s v="ORD-0059"/>
    <x v="54"/>
    <s v="CUST-1084"/>
    <x v="1"/>
    <x v="6"/>
    <x v="2"/>
    <x v="2"/>
    <x v="1"/>
    <n v="1"/>
    <x v="58"/>
    <n v="48893000"/>
    <n v="15321000"/>
    <x v="0"/>
  </r>
  <r>
    <s v="ORD-0060"/>
    <x v="55"/>
    <s v="CUST-1121"/>
    <x v="0"/>
    <x v="3"/>
    <x v="0"/>
    <x v="0"/>
    <x v="4"/>
    <n v="1"/>
    <x v="59"/>
    <n v="21629000"/>
    <n v="-1334000"/>
    <x v="0"/>
  </r>
  <r>
    <s v="ORD-0061"/>
    <x v="56"/>
    <s v="CUST-1008"/>
    <x v="0"/>
    <x v="0"/>
    <x v="0"/>
    <x v="2"/>
    <x v="2"/>
    <n v="1"/>
    <x v="60"/>
    <n v="15163000"/>
    <n v="1918000"/>
    <x v="0"/>
  </r>
  <r>
    <s v="ORD-0062"/>
    <x v="57"/>
    <s v="CUST-1066"/>
    <x v="1"/>
    <x v="5"/>
    <x v="1"/>
    <x v="3"/>
    <x v="2"/>
    <n v="1"/>
    <x v="61"/>
    <n v="37090000"/>
    <n v="3969000"/>
    <x v="0"/>
  </r>
  <r>
    <s v="ORD-0063"/>
    <x v="58"/>
    <s v="CUST-1007"/>
    <x v="0"/>
    <x v="5"/>
    <x v="1"/>
    <x v="3"/>
    <x v="0"/>
    <n v="1"/>
    <x v="62"/>
    <n v="37150000"/>
    <n v="-250000"/>
    <x v="0"/>
  </r>
  <r>
    <s v="ORD-0064"/>
    <x v="59"/>
    <s v="CUST-1063"/>
    <x v="1"/>
    <x v="7"/>
    <x v="1"/>
    <x v="0"/>
    <x v="4"/>
    <n v="2"/>
    <x v="63"/>
    <n v="36937000"/>
    <n v="5557000"/>
    <x v="0"/>
  </r>
  <r>
    <s v="ORD-0065"/>
    <x v="29"/>
    <s v="CUST-1110"/>
    <x v="0"/>
    <x v="2"/>
    <x v="1"/>
    <x v="3"/>
    <x v="3"/>
    <n v="1"/>
    <x v="64"/>
    <n v="20360000"/>
    <n v="-1907000"/>
    <x v="0"/>
  </r>
  <r>
    <s v="ORD-0066"/>
    <x v="60"/>
    <s v="CUST-1229"/>
    <x v="1"/>
    <x v="6"/>
    <x v="2"/>
    <x v="4"/>
    <x v="4"/>
    <n v="1"/>
    <x v="65"/>
    <n v="50164000"/>
    <n v="11063000"/>
    <x v="0"/>
  </r>
  <r>
    <s v="ORD-0067"/>
    <x v="13"/>
    <s v="CUST-1124"/>
    <x v="0"/>
    <x v="3"/>
    <x v="0"/>
    <x v="4"/>
    <x v="1"/>
    <n v="2"/>
    <x v="66"/>
    <n v="44944000"/>
    <n v="6737000"/>
    <x v="0"/>
  </r>
  <r>
    <s v="ORD-0068"/>
    <x v="61"/>
    <s v="CUST-1119"/>
    <x v="0"/>
    <x v="4"/>
    <x v="0"/>
    <x v="1"/>
    <x v="0"/>
    <n v="2"/>
    <x v="67"/>
    <n v="48171000"/>
    <n v="6051000"/>
    <x v="0"/>
  </r>
  <r>
    <s v="ORD-0069"/>
    <x v="53"/>
    <s v="CUST-1088"/>
    <x v="1"/>
    <x v="3"/>
    <x v="0"/>
    <x v="3"/>
    <x v="0"/>
    <n v="2"/>
    <x v="68"/>
    <n v="42345000"/>
    <n v="8728000"/>
    <x v="0"/>
  </r>
  <r>
    <s v="ORD-0070"/>
    <x v="62"/>
    <s v="CUST-1143"/>
    <x v="1"/>
    <x v="7"/>
    <x v="1"/>
    <x v="2"/>
    <x v="4"/>
    <n v="1"/>
    <x v="69"/>
    <n v="17827000"/>
    <n v="3399000"/>
    <x v="0"/>
  </r>
  <r>
    <s v="ORD-0071"/>
    <x v="63"/>
    <s v="CUST-1079"/>
    <x v="1"/>
    <x v="6"/>
    <x v="2"/>
    <x v="1"/>
    <x v="5"/>
    <n v="1"/>
    <x v="70"/>
    <n v="49094000"/>
    <n v="8984000"/>
    <x v="0"/>
  </r>
  <r>
    <s v="ORD-0072"/>
    <x v="64"/>
    <s v="CUST-1079"/>
    <x v="1"/>
    <x v="5"/>
    <x v="1"/>
    <x v="3"/>
    <x v="2"/>
    <n v="3"/>
    <x v="71"/>
    <n v="104922000"/>
    <n v="25568000"/>
    <x v="0"/>
  </r>
  <r>
    <s v="ORD-0073"/>
    <x v="65"/>
    <s v="CUST-1190"/>
    <x v="1"/>
    <x v="2"/>
    <x v="1"/>
    <x v="4"/>
    <x v="5"/>
    <n v="1"/>
    <x v="72"/>
    <n v="20177000"/>
    <n v="5350000"/>
    <x v="0"/>
  </r>
  <r>
    <s v="ORD-0074"/>
    <x v="66"/>
    <s v="CUST-1046"/>
    <x v="1"/>
    <x v="7"/>
    <x v="1"/>
    <x v="3"/>
    <x v="3"/>
    <n v="1"/>
    <x v="73"/>
    <n v="17740000"/>
    <n v="3228000"/>
    <x v="0"/>
  </r>
  <r>
    <s v="ORD-0075"/>
    <x v="67"/>
    <s v="CUST-1223"/>
    <x v="1"/>
    <x v="5"/>
    <x v="1"/>
    <x v="4"/>
    <x v="3"/>
    <n v="3"/>
    <x v="74"/>
    <n v="108602000"/>
    <n v="21938000"/>
    <x v="0"/>
  </r>
  <r>
    <s v="ORD-0076"/>
    <x v="68"/>
    <s v="CUST-1123"/>
    <x v="1"/>
    <x v="5"/>
    <x v="1"/>
    <x v="0"/>
    <x v="3"/>
    <n v="1"/>
    <x v="75"/>
    <n v="33907000"/>
    <n v="7544000"/>
    <x v="1"/>
  </r>
  <r>
    <s v="ORD-0077"/>
    <x v="22"/>
    <s v="CUST-1022"/>
    <x v="0"/>
    <x v="1"/>
    <x v="1"/>
    <x v="2"/>
    <x v="3"/>
    <n v="1"/>
    <x v="76"/>
    <n v="44853000"/>
    <n v="5053000"/>
    <x v="1"/>
  </r>
  <r>
    <s v="ORD-0078"/>
    <x v="69"/>
    <s v="CUST-1114"/>
    <x v="1"/>
    <x v="2"/>
    <x v="1"/>
    <x v="3"/>
    <x v="0"/>
    <n v="1"/>
    <x v="77"/>
    <n v="19845000"/>
    <n v="3419000"/>
    <x v="0"/>
  </r>
  <r>
    <s v="ORD-0079"/>
    <x v="70"/>
    <s v="CUST-1055"/>
    <x v="0"/>
    <x v="4"/>
    <x v="0"/>
    <x v="3"/>
    <x v="4"/>
    <n v="1"/>
    <x v="78"/>
    <n v="24238000"/>
    <n v="5294000"/>
    <x v="0"/>
  </r>
  <r>
    <s v="ORD-0080"/>
    <x v="71"/>
    <s v="CUST-1075"/>
    <x v="1"/>
    <x v="0"/>
    <x v="0"/>
    <x v="0"/>
    <x v="2"/>
    <n v="1"/>
    <x v="79"/>
    <n v="14428000"/>
    <n v="2498000"/>
    <x v="0"/>
  </r>
  <r>
    <s v="ORD-0081"/>
    <x v="72"/>
    <s v="CUST-1161"/>
    <x v="0"/>
    <x v="2"/>
    <x v="1"/>
    <x v="1"/>
    <x v="4"/>
    <n v="1"/>
    <x v="80"/>
    <n v="20639000"/>
    <n v="4066000"/>
    <x v="0"/>
  </r>
  <r>
    <s v="ORD-0082"/>
    <x v="73"/>
    <s v="CUST-1043"/>
    <x v="1"/>
    <x v="3"/>
    <x v="0"/>
    <x v="3"/>
    <x v="0"/>
    <n v="1"/>
    <x v="81"/>
    <n v="22512000"/>
    <n v="5527000"/>
    <x v="0"/>
  </r>
  <r>
    <s v="ORD-0083"/>
    <x v="41"/>
    <s v="CUST-1139"/>
    <x v="1"/>
    <x v="7"/>
    <x v="1"/>
    <x v="4"/>
    <x v="1"/>
    <n v="1"/>
    <x v="82"/>
    <n v="18122000"/>
    <n v="3428000"/>
    <x v="0"/>
  </r>
  <r>
    <s v="ORD-0084"/>
    <x v="71"/>
    <s v="CUST-1173"/>
    <x v="0"/>
    <x v="5"/>
    <x v="1"/>
    <x v="1"/>
    <x v="0"/>
    <n v="1"/>
    <x v="83"/>
    <n v="33817000"/>
    <n v="9978000"/>
    <x v="0"/>
  </r>
  <r>
    <s v="ORD-0085"/>
    <x v="57"/>
    <s v="CUST-1167"/>
    <x v="0"/>
    <x v="7"/>
    <x v="1"/>
    <x v="4"/>
    <x v="5"/>
    <n v="1"/>
    <x v="84"/>
    <n v="18769000"/>
    <n v="2026000"/>
    <x v="0"/>
  </r>
  <r>
    <s v="ORD-0086"/>
    <x v="74"/>
    <s v="CUST-1083"/>
    <x v="1"/>
    <x v="7"/>
    <x v="1"/>
    <x v="0"/>
    <x v="2"/>
    <n v="1"/>
    <x v="85"/>
    <n v="18245000"/>
    <n v="5206000"/>
    <x v="0"/>
  </r>
  <r>
    <s v="ORD-0087"/>
    <x v="75"/>
    <s v="CUST-1023"/>
    <x v="1"/>
    <x v="3"/>
    <x v="0"/>
    <x v="3"/>
    <x v="5"/>
    <n v="1"/>
    <x v="86"/>
    <n v="22368000"/>
    <n v="-3440000"/>
    <x v="0"/>
  </r>
  <r>
    <s v="ORD-0088"/>
    <x v="76"/>
    <s v="CUST-1119"/>
    <x v="0"/>
    <x v="0"/>
    <x v="0"/>
    <x v="4"/>
    <x v="3"/>
    <n v="2"/>
    <x v="87"/>
    <n v="27553000"/>
    <n v="-409000"/>
    <x v="0"/>
  </r>
  <r>
    <s v="ORD-0089"/>
    <x v="77"/>
    <s v="CUST-1034"/>
    <x v="0"/>
    <x v="1"/>
    <x v="1"/>
    <x v="3"/>
    <x v="1"/>
    <n v="1"/>
    <x v="88"/>
    <n v="41550000"/>
    <n v="10318000"/>
    <x v="0"/>
  </r>
  <r>
    <s v="ORD-0090"/>
    <x v="78"/>
    <s v="CUST-1004"/>
    <x v="1"/>
    <x v="1"/>
    <x v="1"/>
    <x v="1"/>
    <x v="1"/>
    <n v="1"/>
    <x v="89"/>
    <n v="44413000"/>
    <n v="9870000"/>
    <x v="0"/>
  </r>
  <r>
    <s v="ORD-0091"/>
    <x v="79"/>
    <s v="CUST-1239"/>
    <x v="0"/>
    <x v="4"/>
    <x v="0"/>
    <x v="3"/>
    <x v="0"/>
    <n v="1"/>
    <x v="90"/>
    <n v="23543000"/>
    <n v="6756000"/>
    <x v="0"/>
  </r>
  <r>
    <s v="ORD-0092"/>
    <x v="80"/>
    <s v="CUST-1236"/>
    <x v="0"/>
    <x v="4"/>
    <x v="0"/>
    <x v="1"/>
    <x v="0"/>
    <n v="3"/>
    <x v="91"/>
    <n v="69957000"/>
    <n v="13122000"/>
    <x v="0"/>
  </r>
  <r>
    <s v="ORD-0093"/>
    <x v="81"/>
    <s v="CUST-1211"/>
    <x v="1"/>
    <x v="7"/>
    <x v="1"/>
    <x v="0"/>
    <x v="5"/>
    <n v="1"/>
    <x v="92"/>
    <n v="19095000"/>
    <n v="2772000"/>
    <x v="0"/>
  </r>
  <r>
    <s v="ORD-0094"/>
    <x v="82"/>
    <s v="CUST-1086"/>
    <x v="0"/>
    <x v="2"/>
    <x v="1"/>
    <x v="1"/>
    <x v="0"/>
    <n v="1"/>
    <x v="93"/>
    <n v="19694000"/>
    <n v="-1507000"/>
    <x v="0"/>
  </r>
  <r>
    <s v="ORD-0095"/>
    <x v="4"/>
    <s v="CUST-1199"/>
    <x v="1"/>
    <x v="1"/>
    <x v="1"/>
    <x v="4"/>
    <x v="3"/>
    <n v="1"/>
    <x v="94"/>
    <n v="43812000"/>
    <n v="9783000"/>
    <x v="0"/>
  </r>
  <r>
    <s v="ORD-0096"/>
    <x v="83"/>
    <s v="CUST-1039"/>
    <x v="0"/>
    <x v="2"/>
    <x v="1"/>
    <x v="4"/>
    <x v="3"/>
    <n v="1"/>
    <x v="95"/>
    <n v="20124000"/>
    <n v="-3014000"/>
    <x v="0"/>
  </r>
  <r>
    <s v="ORD-0097"/>
    <x v="84"/>
    <s v="CUST-1117"/>
    <x v="0"/>
    <x v="1"/>
    <x v="1"/>
    <x v="0"/>
    <x v="4"/>
    <n v="2"/>
    <x v="96"/>
    <n v="86481000"/>
    <n v="23098000"/>
    <x v="0"/>
  </r>
  <r>
    <s v="ORD-0098"/>
    <x v="85"/>
    <s v="CUST-1178"/>
    <x v="0"/>
    <x v="3"/>
    <x v="0"/>
    <x v="4"/>
    <x v="4"/>
    <n v="1"/>
    <x v="97"/>
    <n v="22823000"/>
    <n v="3704000"/>
    <x v="0"/>
  </r>
  <r>
    <s v="ORD-0099"/>
    <x v="71"/>
    <s v="CUST-1195"/>
    <x v="0"/>
    <x v="7"/>
    <x v="1"/>
    <x v="4"/>
    <x v="0"/>
    <n v="2"/>
    <x v="98"/>
    <n v="35929000"/>
    <n v="7605000"/>
    <x v="0"/>
  </r>
  <r>
    <s v="ORD-0100"/>
    <x v="32"/>
    <s v="CUST-1026"/>
    <x v="1"/>
    <x v="5"/>
    <x v="1"/>
    <x v="0"/>
    <x v="1"/>
    <n v="1"/>
    <x v="99"/>
    <n v="34533000"/>
    <n v="7493000"/>
    <x v="0"/>
  </r>
  <r>
    <s v="ORD-0101"/>
    <x v="86"/>
    <s v="CUST-1038"/>
    <x v="0"/>
    <x v="2"/>
    <x v="1"/>
    <x v="2"/>
    <x v="0"/>
    <n v="1"/>
    <x v="100"/>
    <n v="19391000"/>
    <n v="5653000"/>
    <x v="0"/>
  </r>
  <r>
    <s v="ORD-0102"/>
    <x v="87"/>
    <s v="CUST-1062"/>
    <x v="0"/>
    <x v="5"/>
    <x v="1"/>
    <x v="4"/>
    <x v="0"/>
    <n v="1"/>
    <x v="101"/>
    <n v="36816000"/>
    <n v="4045000"/>
    <x v="0"/>
  </r>
  <r>
    <s v="ORD-0103"/>
    <x v="85"/>
    <s v="CUST-1074"/>
    <x v="0"/>
    <x v="4"/>
    <x v="0"/>
    <x v="1"/>
    <x v="2"/>
    <n v="1"/>
    <x v="102"/>
    <n v="24125000"/>
    <n v="5136000"/>
    <x v="0"/>
  </r>
  <r>
    <s v="ORD-0104"/>
    <x v="88"/>
    <s v="CUST-1217"/>
    <x v="1"/>
    <x v="3"/>
    <x v="0"/>
    <x v="3"/>
    <x v="2"/>
    <n v="1"/>
    <x v="103"/>
    <n v="21635000"/>
    <n v="5476000"/>
    <x v="0"/>
  </r>
  <r>
    <s v="ORD-0105"/>
    <x v="50"/>
    <s v="CUST-1006"/>
    <x v="1"/>
    <x v="7"/>
    <x v="1"/>
    <x v="4"/>
    <x v="5"/>
    <n v="1"/>
    <x v="104"/>
    <n v="17926000"/>
    <n v="3781000"/>
    <x v="0"/>
  </r>
  <r>
    <s v="ORD-0106"/>
    <x v="89"/>
    <s v="CUST-1232"/>
    <x v="0"/>
    <x v="5"/>
    <x v="1"/>
    <x v="3"/>
    <x v="2"/>
    <n v="1"/>
    <x v="105"/>
    <n v="35878000"/>
    <n v="4816000"/>
    <x v="0"/>
  </r>
  <r>
    <s v="ORD-0107"/>
    <x v="58"/>
    <s v="CUST-1175"/>
    <x v="1"/>
    <x v="2"/>
    <x v="1"/>
    <x v="2"/>
    <x v="4"/>
    <n v="1"/>
    <x v="106"/>
    <n v="20306000"/>
    <n v="-1166000"/>
    <x v="0"/>
  </r>
  <r>
    <s v="ORD-0108"/>
    <x v="90"/>
    <s v="CUST-1024"/>
    <x v="0"/>
    <x v="7"/>
    <x v="1"/>
    <x v="3"/>
    <x v="5"/>
    <n v="1"/>
    <x v="107"/>
    <n v="18446000"/>
    <n v="3495000"/>
    <x v="0"/>
  </r>
  <r>
    <s v="ORD-0109"/>
    <x v="91"/>
    <s v="CUST-1213"/>
    <x v="1"/>
    <x v="0"/>
    <x v="0"/>
    <x v="2"/>
    <x v="5"/>
    <n v="1"/>
    <x v="108"/>
    <n v="14545000"/>
    <n v="4648000"/>
    <x v="0"/>
  </r>
  <r>
    <s v="ORD-0110"/>
    <x v="92"/>
    <s v="CUST-1194"/>
    <x v="1"/>
    <x v="7"/>
    <x v="1"/>
    <x v="2"/>
    <x v="4"/>
    <n v="2"/>
    <x v="109"/>
    <n v="36484000"/>
    <n v="9476000"/>
    <x v="0"/>
  </r>
  <r>
    <s v="ORD-0111"/>
    <x v="93"/>
    <s v="CUST-1138"/>
    <x v="0"/>
    <x v="7"/>
    <x v="1"/>
    <x v="0"/>
    <x v="1"/>
    <n v="1"/>
    <x v="110"/>
    <n v="18832000"/>
    <n v="2894000"/>
    <x v="0"/>
  </r>
  <r>
    <s v="ORD-0112"/>
    <x v="94"/>
    <s v="CUST-1060"/>
    <x v="0"/>
    <x v="6"/>
    <x v="2"/>
    <x v="4"/>
    <x v="3"/>
    <n v="1"/>
    <x v="111"/>
    <n v="52723000"/>
    <n v="11139000"/>
    <x v="0"/>
  </r>
  <r>
    <s v="ORD-0113"/>
    <x v="95"/>
    <s v="CUST-1233"/>
    <x v="1"/>
    <x v="7"/>
    <x v="1"/>
    <x v="3"/>
    <x v="4"/>
    <n v="2"/>
    <x v="112"/>
    <n v="35001000"/>
    <n v="-47000"/>
    <x v="0"/>
  </r>
  <r>
    <s v="ORD-0114"/>
    <x v="96"/>
    <s v="CUST-1138"/>
    <x v="1"/>
    <x v="0"/>
    <x v="0"/>
    <x v="2"/>
    <x v="1"/>
    <n v="1"/>
    <x v="113"/>
    <n v="13943000"/>
    <n v="5307000"/>
    <x v="0"/>
  </r>
  <r>
    <s v="ORD-0115"/>
    <x v="97"/>
    <s v="CUST-1227"/>
    <x v="0"/>
    <x v="3"/>
    <x v="0"/>
    <x v="4"/>
    <x v="4"/>
    <n v="1"/>
    <x v="114"/>
    <n v="21990000"/>
    <n v="4781000"/>
    <x v="0"/>
  </r>
  <r>
    <s v="ORD-0116"/>
    <x v="98"/>
    <s v="CUST-1114"/>
    <x v="0"/>
    <x v="2"/>
    <x v="1"/>
    <x v="2"/>
    <x v="5"/>
    <n v="2"/>
    <x v="115"/>
    <n v="40354000"/>
    <n v="6512000"/>
    <x v="0"/>
  </r>
  <r>
    <s v="ORD-0117"/>
    <x v="98"/>
    <s v="CUST-1248"/>
    <x v="1"/>
    <x v="7"/>
    <x v="1"/>
    <x v="0"/>
    <x v="1"/>
    <n v="2"/>
    <x v="116"/>
    <n v="34992000"/>
    <n v="10056000"/>
    <x v="0"/>
  </r>
  <r>
    <s v="ORD-0118"/>
    <x v="99"/>
    <s v="CUST-1033"/>
    <x v="0"/>
    <x v="6"/>
    <x v="2"/>
    <x v="1"/>
    <x v="2"/>
    <n v="1"/>
    <x v="117"/>
    <n v="51948000"/>
    <n v="5561000"/>
    <x v="0"/>
  </r>
  <r>
    <s v="ORD-0119"/>
    <x v="100"/>
    <s v="CUST-1202"/>
    <x v="0"/>
    <x v="2"/>
    <x v="1"/>
    <x v="1"/>
    <x v="3"/>
    <n v="1"/>
    <x v="118"/>
    <n v="19271000"/>
    <n v="5826000"/>
    <x v="0"/>
  </r>
  <r>
    <s v="ORD-0120"/>
    <x v="101"/>
    <s v="CUST-1007"/>
    <x v="1"/>
    <x v="7"/>
    <x v="1"/>
    <x v="2"/>
    <x v="3"/>
    <n v="1"/>
    <x v="119"/>
    <n v="17704000"/>
    <n v="3693000"/>
    <x v="0"/>
  </r>
  <r>
    <s v="ORD-0121"/>
    <x v="102"/>
    <s v="CUST-1135"/>
    <x v="1"/>
    <x v="2"/>
    <x v="1"/>
    <x v="0"/>
    <x v="4"/>
    <n v="1"/>
    <x v="120"/>
    <n v="18914000"/>
    <n v="4190000"/>
    <x v="0"/>
  </r>
  <r>
    <s v="ORD-0122"/>
    <x v="16"/>
    <s v="CUST-1012"/>
    <x v="0"/>
    <x v="1"/>
    <x v="1"/>
    <x v="1"/>
    <x v="5"/>
    <n v="1"/>
    <x v="121"/>
    <n v="43517000"/>
    <n v="6100000"/>
    <x v="1"/>
  </r>
  <r>
    <s v="ORD-0123"/>
    <x v="103"/>
    <s v="CUST-1183"/>
    <x v="1"/>
    <x v="6"/>
    <x v="2"/>
    <x v="4"/>
    <x v="3"/>
    <n v="3"/>
    <x v="122"/>
    <n v="150383000"/>
    <n v="41794000"/>
    <x v="0"/>
  </r>
  <r>
    <s v="ORD-0124"/>
    <x v="71"/>
    <s v="CUST-1098"/>
    <x v="1"/>
    <x v="3"/>
    <x v="0"/>
    <x v="1"/>
    <x v="0"/>
    <n v="1"/>
    <x v="123"/>
    <n v="21986000"/>
    <n v="5075000"/>
    <x v="0"/>
  </r>
  <r>
    <s v="ORD-0125"/>
    <x v="104"/>
    <s v="CUST-1197"/>
    <x v="0"/>
    <x v="1"/>
    <x v="1"/>
    <x v="1"/>
    <x v="4"/>
    <n v="1"/>
    <x v="124"/>
    <n v="45035000"/>
    <n v="8589000"/>
    <x v="0"/>
  </r>
  <r>
    <s v="ORD-0126"/>
    <x v="105"/>
    <s v="CUST-1081"/>
    <x v="0"/>
    <x v="3"/>
    <x v="0"/>
    <x v="4"/>
    <x v="5"/>
    <n v="1"/>
    <x v="125"/>
    <n v="21579000"/>
    <n v="6181000"/>
    <x v="0"/>
  </r>
  <r>
    <s v="ORD-0127"/>
    <x v="106"/>
    <s v="CUST-1111"/>
    <x v="0"/>
    <x v="4"/>
    <x v="0"/>
    <x v="0"/>
    <x v="4"/>
    <n v="1"/>
    <x v="126"/>
    <n v="22252000"/>
    <n v="6295000"/>
    <x v="0"/>
  </r>
  <r>
    <s v="ORD-0128"/>
    <x v="107"/>
    <s v="CUST-1091"/>
    <x v="0"/>
    <x v="2"/>
    <x v="1"/>
    <x v="4"/>
    <x v="4"/>
    <n v="1"/>
    <x v="127"/>
    <n v="19463000"/>
    <n v="4849000"/>
    <x v="0"/>
  </r>
  <r>
    <s v="ORD-0129"/>
    <x v="108"/>
    <s v="CUST-1058"/>
    <x v="0"/>
    <x v="7"/>
    <x v="1"/>
    <x v="0"/>
    <x v="5"/>
    <n v="1"/>
    <x v="128"/>
    <n v="17774000"/>
    <n v="4559000"/>
    <x v="0"/>
  </r>
  <r>
    <s v="ORD-0130"/>
    <x v="23"/>
    <s v="CUST-1210"/>
    <x v="0"/>
    <x v="3"/>
    <x v="0"/>
    <x v="1"/>
    <x v="0"/>
    <n v="1"/>
    <x v="129"/>
    <n v="22552000"/>
    <n v="5139000"/>
    <x v="1"/>
  </r>
  <r>
    <s v="ORD-0131"/>
    <x v="93"/>
    <s v="CUST-1180"/>
    <x v="1"/>
    <x v="6"/>
    <x v="2"/>
    <x v="3"/>
    <x v="5"/>
    <n v="2"/>
    <x v="130"/>
    <n v="98651000"/>
    <n v="29184000"/>
    <x v="0"/>
  </r>
  <r>
    <s v="ORD-0132"/>
    <x v="109"/>
    <s v="CUST-1008"/>
    <x v="0"/>
    <x v="0"/>
    <x v="0"/>
    <x v="0"/>
    <x v="4"/>
    <n v="1"/>
    <x v="131"/>
    <n v="13981000"/>
    <n v="-1123000"/>
    <x v="0"/>
  </r>
  <r>
    <s v="ORD-0133"/>
    <x v="110"/>
    <s v="CUST-1146"/>
    <x v="1"/>
    <x v="4"/>
    <x v="0"/>
    <x v="1"/>
    <x v="3"/>
    <n v="1"/>
    <x v="132"/>
    <n v="23714000"/>
    <n v="4447000"/>
    <x v="0"/>
  </r>
  <r>
    <s v="ORD-0134"/>
    <x v="108"/>
    <s v="CUST-1156"/>
    <x v="0"/>
    <x v="0"/>
    <x v="0"/>
    <x v="4"/>
    <x v="1"/>
    <n v="1"/>
    <x v="133"/>
    <n v="14418000"/>
    <n v="2693000"/>
    <x v="0"/>
  </r>
  <r>
    <s v="ORD-0135"/>
    <x v="111"/>
    <s v="CUST-1135"/>
    <x v="1"/>
    <x v="4"/>
    <x v="0"/>
    <x v="3"/>
    <x v="3"/>
    <n v="1"/>
    <x v="134"/>
    <n v="23613000"/>
    <n v="3588000"/>
    <x v="0"/>
  </r>
  <r>
    <s v="ORD-0136"/>
    <x v="2"/>
    <s v="CUST-1066"/>
    <x v="0"/>
    <x v="3"/>
    <x v="0"/>
    <x v="3"/>
    <x v="5"/>
    <n v="1"/>
    <x v="135"/>
    <n v="21170000"/>
    <n v="4778000"/>
    <x v="0"/>
  </r>
  <r>
    <s v="ORD-0137"/>
    <x v="65"/>
    <s v="CUST-1214"/>
    <x v="0"/>
    <x v="0"/>
    <x v="0"/>
    <x v="3"/>
    <x v="3"/>
    <n v="1"/>
    <x v="136"/>
    <n v="14795000"/>
    <n v="3015000"/>
    <x v="0"/>
  </r>
  <r>
    <s v="ORD-0138"/>
    <x v="112"/>
    <s v="CUST-1147"/>
    <x v="1"/>
    <x v="7"/>
    <x v="1"/>
    <x v="4"/>
    <x v="4"/>
    <n v="1"/>
    <x v="137"/>
    <n v="18963000"/>
    <n v="4352000"/>
    <x v="0"/>
  </r>
  <r>
    <s v="ORD-0139"/>
    <x v="0"/>
    <s v="CUST-1213"/>
    <x v="1"/>
    <x v="3"/>
    <x v="0"/>
    <x v="3"/>
    <x v="3"/>
    <n v="1"/>
    <x v="138"/>
    <n v="22457000"/>
    <n v="-1113000"/>
    <x v="0"/>
  </r>
  <r>
    <s v="ORD-0140"/>
    <x v="113"/>
    <s v="CUST-1087"/>
    <x v="1"/>
    <x v="2"/>
    <x v="1"/>
    <x v="2"/>
    <x v="5"/>
    <n v="1"/>
    <x v="139"/>
    <n v="19594000"/>
    <n v="4601000"/>
    <x v="0"/>
  </r>
  <r>
    <s v="ORD-0141"/>
    <x v="114"/>
    <s v="CUST-1246"/>
    <x v="0"/>
    <x v="0"/>
    <x v="0"/>
    <x v="2"/>
    <x v="2"/>
    <n v="1"/>
    <x v="140"/>
    <n v="14901000"/>
    <n v="2473000"/>
    <x v="0"/>
  </r>
  <r>
    <s v="ORD-0142"/>
    <x v="115"/>
    <s v="CUST-1198"/>
    <x v="1"/>
    <x v="0"/>
    <x v="0"/>
    <x v="4"/>
    <x v="1"/>
    <n v="1"/>
    <x v="141"/>
    <n v="14725000"/>
    <n v="3974000"/>
    <x v="0"/>
  </r>
  <r>
    <s v="ORD-0143"/>
    <x v="54"/>
    <s v="CUST-1222"/>
    <x v="1"/>
    <x v="2"/>
    <x v="1"/>
    <x v="3"/>
    <x v="2"/>
    <n v="2"/>
    <x v="142"/>
    <n v="40136000"/>
    <n v="8506000"/>
    <x v="0"/>
  </r>
  <r>
    <s v="ORD-0144"/>
    <x v="116"/>
    <s v="CUST-1080"/>
    <x v="1"/>
    <x v="0"/>
    <x v="0"/>
    <x v="4"/>
    <x v="1"/>
    <n v="1"/>
    <x v="143"/>
    <n v="13856000"/>
    <n v="3707000"/>
    <x v="0"/>
  </r>
  <r>
    <s v="ORD-0145"/>
    <x v="117"/>
    <s v="CUST-1130"/>
    <x v="0"/>
    <x v="0"/>
    <x v="0"/>
    <x v="4"/>
    <x v="1"/>
    <n v="1"/>
    <x v="144"/>
    <n v="15015000"/>
    <n v="3927000"/>
    <x v="0"/>
  </r>
  <r>
    <s v="ORD-0146"/>
    <x v="118"/>
    <s v="CUST-1083"/>
    <x v="0"/>
    <x v="5"/>
    <x v="1"/>
    <x v="1"/>
    <x v="1"/>
    <n v="2"/>
    <x v="145"/>
    <n v="73200000"/>
    <n v="12668000"/>
    <x v="0"/>
  </r>
  <r>
    <s v="ORD-0147"/>
    <x v="119"/>
    <s v="CUST-1130"/>
    <x v="1"/>
    <x v="0"/>
    <x v="0"/>
    <x v="2"/>
    <x v="3"/>
    <n v="1"/>
    <x v="146"/>
    <n v="14273000"/>
    <n v="4751000"/>
    <x v="0"/>
  </r>
  <r>
    <s v="ORD-0148"/>
    <x v="120"/>
    <s v="CUST-1100"/>
    <x v="0"/>
    <x v="2"/>
    <x v="1"/>
    <x v="4"/>
    <x v="5"/>
    <n v="1"/>
    <x v="147"/>
    <n v="19531000"/>
    <n v="4932000"/>
    <x v="0"/>
  </r>
  <r>
    <s v="ORD-0149"/>
    <x v="121"/>
    <s v="CUST-1073"/>
    <x v="0"/>
    <x v="5"/>
    <x v="1"/>
    <x v="3"/>
    <x v="4"/>
    <n v="1"/>
    <x v="148"/>
    <n v="34060000"/>
    <n v="6728000"/>
    <x v="0"/>
  </r>
  <r>
    <s v="ORD-0150"/>
    <x v="26"/>
    <s v="CUST-1080"/>
    <x v="1"/>
    <x v="7"/>
    <x v="1"/>
    <x v="4"/>
    <x v="2"/>
    <n v="1"/>
    <x v="149"/>
    <n v="18599000"/>
    <n v="2314000"/>
    <x v="0"/>
  </r>
  <r>
    <s v="ORD-0151"/>
    <x v="47"/>
    <s v="CUST-1180"/>
    <x v="1"/>
    <x v="2"/>
    <x v="1"/>
    <x v="1"/>
    <x v="3"/>
    <n v="1"/>
    <x v="150"/>
    <n v="19460000"/>
    <n v="686000"/>
    <x v="0"/>
  </r>
  <r>
    <s v="ORD-0152"/>
    <x v="27"/>
    <s v="CUST-1197"/>
    <x v="1"/>
    <x v="6"/>
    <x v="2"/>
    <x v="4"/>
    <x v="2"/>
    <n v="1"/>
    <x v="151"/>
    <n v="52778000"/>
    <n v="-3751000"/>
    <x v="0"/>
  </r>
  <r>
    <s v="ORD-0153"/>
    <x v="122"/>
    <s v="CUST-1190"/>
    <x v="1"/>
    <x v="7"/>
    <x v="1"/>
    <x v="1"/>
    <x v="3"/>
    <n v="1"/>
    <x v="152"/>
    <n v="18314000"/>
    <n v="4620000"/>
    <x v="0"/>
  </r>
  <r>
    <s v="ORD-0154"/>
    <x v="123"/>
    <s v="CUST-1198"/>
    <x v="0"/>
    <x v="3"/>
    <x v="0"/>
    <x v="1"/>
    <x v="2"/>
    <n v="1"/>
    <x v="153"/>
    <n v="21064000"/>
    <n v="5144000"/>
    <x v="0"/>
  </r>
  <r>
    <s v="ORD-0155"/>
    <x v="124"/>
    <s v="CUST-1201"/>
    <x v="1"/>
    <x v="0"/>
    <x v="0"/>
    <x v="4"/>
    <x v="2"/>
    <n v="1"/>
    <x v="154"/>
    <n v="14660000"/>
    <n v="4529000"/>
    <x v="0"/>
  </r>
  <r>
    <s v="ORD-0156"/>
    <x v="125"/>
    <s v="CUST-1147"/>
    <x v="0"/>
    <x v="4"/>
    <x v="0"/>
    <x v="4"/>
    <x v="1"/>
    <n v="1"/>
    <x v="155"/>
    <n v="22490000"/>
    <n v="7649000"/>
    <x v="0"/>
  </r>
  <r>
    <s v="ORD-0157"/>
    <x v="126"/>
    <s v="CUST-1224"/>
    <x v="1"/>
    <x v="2"/>
    <x v="1"/>
    <x v="3"/>
    <x v="3"/>
    <n v="1"/>
    <x v="156"/>
    <n v="19205000"/>
    <n v="3861000"/>
    <x v="0"/>
  </r>
  <r>
    <s v="ORD-0158"/>
    <x v="37"/>
    <s v="CUST-1022"/>
    <x v="1"/>
    <x v="1"/>
    <x v="1"/>
    <x v="2"/>
    <x v="5"/>
    <n v="2"/>
    <x v="157"/>
    <n v="87138000"/>
    <n v="912000"/>
    <x v="0"/>
  </r>
  <r>
    <s v="ORD-0159"/>
    <x v="127"/>
    <s v="CUST-1090"/>
    <x v="1"/>
    <x v="7"/>
    <x v="1"/>
    <x v="0"/>
    <x v="1"/>
    <n v="1"/>
    <x v="158"/>
    <n v="17791000"/>
    <n v="5596000"/>
    <x v="0"/>
  </r>
  <r>
    <s v="ORD-0160"/>
    <x v="128"/>
    <s v="CUST-1026"/>
    <x v="1"/>
    <x v="3"/>
    <x v="0"/>
    <x v="3"/>
    <x v="2"/>
    <n v="1"/>
    <x v="159"/>
    <n v="21199000"/>
    <n v="3992000"/>
    <x v="0"/>
  </r>
  <r>
    <s v="ORD-0161"/>
    <x v="129"/>
    <s v="CUST-1158"/>
    <x v="0"/>
    <x v="0"/>
    <x v="0"/>
    <x v="0"/>
    <x v="3"/>
    <n v="1"/>
    <x v="160"/>
    <n v="14875000"/>
    <n v="3990000"/>
    <x v="0"/>
  </r>
  <r>
    <s v="ORD-0162"/>
    <x v="130"/>
    <s v="CUST-1074"/>
    <x v="0"/>
    <x v="4"/>
    <x v="0"/>
    <x v="2"/>
    <x v="5"/>
    <n v="1"/>
    <x v="161"/>
    <n v="23264000"/>
    <n v="6220000"/>
    <x v="0"/>
  </r>
  <r>
    <s v="ORD-0163"/>
    <x v="131"/>
    <s v="CUST-1153"/>
    <x v="1"/>
    <x v="0"/>
    <x v="0"/>
    <x v="1"/>
    <x v="3"/>
    <n v="1"/>
    <x v="162"/>
    <n v="13936000"/>
    <n v="4054000"/>
    <x v="0"/>
  </r>
  <r>
    <s v="ORD-0164"/>
    <x v="132"/>
    <s v="CUST-1107"/>
    <x v="1"/>
    <x v="1"/>
    <x v="1"/>
    <x v="2"/>
    <x v="4"/>
    <n v="1"/>
    <x v="163"/>
    <n v="43999000"/>
    <n v="-1538000"/>
    <x v="0"/>
  </r>
  <r>
    <s v="ORD-0165"/>
    <x v="53"/>
    <s v="CUST-1142"/>
    <x v="0"/>
    <x v="0"/>
    <x v="0"/>
    <x v="0"/>
    <x v="1"/>
    <n v="1"/>
    <x v="164"/>
    <n v="14511000"/>
    <n v="3640000"/>
    <x v="1"/>
  </r>
  <r>
    <s v="ORD-0166"/>
    <x v="133"/>
    <s v="CUST-1062"/>
    <x v="1"/>
    <x v="0"/>
    <x v="0"/>
    <x v="0"/>
    <x v="0"/>
    <n v="1"/>
    <x v="165"/>
    <n v="14293000"/>
    <n v="4376000"/>
    <x v="0"/>
  </r>
  <r>
    <s v="ORD-0167"/>
    <x v="134"/>
    <s v="CUST-1179"/>
    <x v="1"/>
    <x v="0"/>
    <x v="0"/>
    <x v="4"/>
    <x v="4"/>
    <n v="1"/>
    <x v="166"/>
    <n v="14979000"/>
    <n v="-1714000"/>
    <x v="0"/>
  </r>
  <r>
    <s v="ORD-0168"/>
    <x v="135"/>
    <s v="CUST-1052"/>
    <x v="1"/>
    <x v="2"/>
    <x v="1"/>
    <x v="0"/>
    <x v="5"/>
    <n v="1"/>
    <x v="167"/>
    <n v="19391000"/>
    <n v="4597000"/>
    <x v="0"/>
  </r>
  <r>
    <s v="ORD-0169"/>
    <x v="136"/>
    <s v="CUST-1092"/>
    <x v="0"/>
    <x v="1"/>
    <x v="1"/>
    <x v="0"/>
    <x v="4"/>
    <n v="1"/>
    <x v="168"/>
    <n v="44602000"/>
    <n v="-8175000"/>
    <x v="0"/>
  </r>
  <r>
    <s v="ORD-0170"/>
    <x v="17"/>
    <s v="CUST-1087"/>
    <x v="0"/>
    <x v="4"/>
    <x v="0"/>
    <x v="2"/>
    <x v="1"/>
    <n v="1"/>
    <x v="169"/>
    <n v="23060000"/>
    <n v="-2704000"/>
    <x v="1"/>
  </r>
  <r>
    <s v="ORD-0171"/>
    <x v="137"/>
    <s v="CUST-1155"/>
    <x v="0"/>
    <x v="1"/>
    <x v="1"/>
    <x v="2"/>
    <x v="0"/>
    <n v="1"/>
    <x v="170"/>
    <n v="44488000"/>
    <n v="9808000"/>
    <x v="0"/>
  </r>
  <r>
    <s v="ORD-0172"/>
    <x v="104"/>
    <s v="CUST-1177"/>
    <x v="1"/>
    <x v="3"/>
    <x v="0"/>
    <x v="4"/>
    <x v="5"/>
    <n v="1"/>
    <x v="171"/>
    <n v="22024000"/>
    <n v="3942000"/>
    <x v="0"/>
  </r>
  <r>
    <s v="ORD-0173"/>
    <x v="138"/>
    <s v="CUST-1243"/>
    <x v="0"/>
    <x v="0"/>
    <x v="0"/>
    <x v="0"/>
    <x v="3"/>
    <n v="1"/>
    <x v="172"/>
    <n v="14173000"/>
    <n v="5083000"/>
    <x v="1"/>
  </r>
  <r>
    <s v="ORD-0174"/>
    <x v="139"/>
    <s v="CUST-1156"/>
    <x v="1"/>
    <x v="6"/>
    <x v="2"/>
    <x v="4"/>
    <x v="3"/>
    <n v="1"/>
    <x v="173"/>
    <n v="52787000"/>
    <n v="9941000"/>
    <x v="0"/>
  </r>
  <r>
    <s v="ORD-0175"/>
    <x v="84"/>
    <s v="CUST-1174"/>
    <x v="0"/>
    <x v="0"/>
    <x v="0"/>
    <x v="4"/>
    <x v="5"/>
    <n v="1"/>
    <x v="174"/>
    <n v="14598000"/>
    <n v="3218000"/>
    <x v="0"/>
  </r>
  <r>
    <s v="ORD-0176"/>
    <x v="107"/>
    <s v="CUST-1246"/>
    <x v="1"/>
    <x v="3"/>
    <x v="0"/>
    <x v="0"/>
    <x v="3"/>
    <n v="1"/>
    <x v="175"/>
    <n v="21395000"/>
    <n v="4779000"/>
    <x v="0"/>
  </r>
  <r>
    <s v="ORD-0177"/>
    <x v="140"/>
    <s v="CUST-1157"/>
    <x v="1"/>
    <x v="1"/>
    <x v="1"/>
    <x v="3"/>
    <x v="4"/>
    <n v="1"/>
    <x v="176"/>
    <n v="42457000"/>
    <n v="8193000"/>
    <x v="0"/>
  </r>
  <r>
    <s v="ORD-0178"/>
    <x v="141"/>
    <s v="CUST-1208"/>
    <x v="1"/>
    <x v="4"/>
    <x v="0"/>
    <x v="3"/>
    <x v="4"/>
    <n v="1"/>
    <x v="177"/>
    <n v="23695000"/>
    <n v="3735000"/>
    <x v="1"/>
  </r>
  <r>
    <s v="ORD-0179"/>
    <x v="142"/>
    <s v="CUST-1180"/>
    <x v="1"/>
    <x v="2"/>
    <x v="1"/>
    <x v="2"/>
    <x v="5"/>
    <n v="1"/>
    <x v="178"/>
    <n v="19122000"/>
    <n v="-2205000"/>
    <x v="0"/>
  </r>
  <r>
    <s v="ORD-0180"/>
    <x v="143"/>
    <s v="CUST-1147"/>
    <x v="0"/>
    <x v="4"/>
    <x v="0"/>
    <x v="3"/>
    <x v="1"/>
    <n v="1"/>
    <x v="179"/>
    <n v="23186000"/>
    <n v="4481000"/>
    <x v="0"/>
  </r>
  <r>
    <s v="ORD-0181"/>
    <x v="144"/>
    <s v="CUST-1106"/>
    <x v="0"/>
    <x v="0"/>
    <x v="0"/>
    <x v="4"/>
    <x v="0"/>
    <n v="1"/>
    <x v="180"/>
    <n v="14815000"/>
    <n v="3037000"/>
    <x v="0"/>
  </r>
  <r>
    <s v="ORD-0182"/>
    <x v="88"/>
    <s v="CUST-1213"/>
    <x v="1"/>
    <x v="0"/>
    <x v="0"/>
    <x v="1"/>
    <x v="4"/>
    <n v="1"/>
    <x v="181"/>
    <n v="14525000"/>
    <n v="3485000"/>
    <x v="0"/>
  </r>
  <r>
    <s v="ORD-0183"/>
    <x v="145"/>
    <s v="CUST-1040"/>
    <x v="0"/>
    <x v="0"/>
    <x v="0"/>
    <x v="3"/>
    <x v="2"/>
    <n v="1"/>
    <x v="182"/>
    <n v="13855000"/>
    <n v="5196000"/>
    <x v="0"/>
  </r>
  <r>
    <s v="ORD-0184"/>
    <x v="146"/>
    <s v="CUST-1065"/>
    <x v="0"/>
    <x v="3"/>
    <x v="0"/>
    <x v="2"/>
    <x v="4"/>
    <n v="1"/>
    <x v="183"/>
    <n v="22661000"/>
    <n v="5490000"/>
    <x v="0"/>
  </r>
  <r>
    <s v="ORD-0185"/>
    <x v="144"/>
    <s v="CUST-1149"/>
    <x v="0"/>
    <x v="4"/>
    <x v="0"/>
    <x v="2"/>
    <x v="2"/>
    <n v="1"/>
    <x v="184"/>
    <n v="23527000"/>
    <n v="3609000"/>
    <x v="0"/>
  </r>
  <r>
    <s v="ORD-0186"/>
    <x v="147"/>
    <s v="CUST-1021"/>
    <x v="0"/>
    <x v="5"/>
    <x v="1"/>
    <x v="0"/>
    <x v="4"/>
    <n v="1"/>
    <x v="185"/>
    <n v="33871000"/>
    <n v="11714000"/>
    <x v="0"/>
  </r>
  <r>
    <s v="ORD-0187"/>
    <x v="148"/>
    <s v="CUST-1140"/>
    <x v="1"/>
    <x v="4"/>
    <x v="0"/>
    <x v="3"/>
    <x v="4"/>
    <n v="1"/>
    <x v="186"/>
    <n v="22110000"/>
    <n v="6970000"/>
    <x v="0"/>
  </r>
  <r>
    <s v="ORD-0188"/>
    <x v="29"/>
    <s v="CUST-1113"/>
    <x v="0"/>
    <x v="1"/>
    <x v="1"/>
    <x v="4"/>
    <x v="1"/>
    <n v="1"/>
    <x v="187"/>
    <n v="41642000"/>
    <n v="-5001000"/>
    <x v="0"/>
  </r>
  <r>
    <s v="ORD-0189"/>
    <x v="149"/>
    <s v="CUST-1250"/>
    <x v="1"/>
    <x v="4"/>
    <x v="0"/>
    <x v="4"/>
    <x v="2"/>
    <n v="1"/>
    <x v="188"/>
    <n v="23743000"/>
    <n v="5709000"/>
    <x v="0"/>
  </r>
  <r>
    <s v="ORD-0190"/>
    <x v="6"/>
    <s v="CUST-1013"/>
    <x v="1"/>
    <x v="1"/>
    <x v="1"/>
    <x v="3"/>
    <x v="1"/>
    <n v="1"/>
    <x v="189"/>
    <n v="43281000"/>
    <n v="6427000"/>
    <x v="0"/>
  </r>
  <r>
    <s v="ORD-0191"/>
    <x v="150"/>
    <s v="CUST-1049"/>
    <x v="0"/>
    <x v="3"/>
    <x v="0"/>
    <x v="2"/>
    <x v="1"/>
    <n v="2"/>
    <x v="190"/>
    <n v="45491000"/>
    <n v="-43000"/>
    <x v="0"/>
  </r>
  <r>
    <s v="ORD-0192"/>
    <x v="151"/>
    <s v="CUST-1062"/>
    <x v="0"/>
    <x v="1"/>
    <x v="1"/>
    <x v="2"/>
    <x v="0"/>
    <n v="1"/>
    <x v="191"/>
    <n v="43036000"/>
    <n v="6453000"/>
    <x v="0"/>
  </r>
  <r>
    <s v="ORD-0193"/>
    <x v="152"/>
    <s v="CUST-1003"/>
    <x v="1"/>
    <x v="0"/>
    <x v="0"/>
    <x v="0"/>
    <x v="1"/>
    <n v="1"/>
    <x v="192"/>
    <n v="14750000"/>
    <n v="-1148000"/>
    <x v="0"/>
  </r>
  <r>
    <s v="ORD-0194"/>
    <x v="153"/>
    <s v="CUST-1050"/>
    <x v="0"/>
    <x v="7"/>
    <x v="1"/>
    <x v="3"/>
    <x v="0"/>
    <n v="1"/>
    <x v="193"/>
    <n v="18118000"/>
    <n v="3609000"/>
    <x v="0"/>
  </r>
  <r>
    <s v="ORD-0195"/>
    <x v="72"/>
    <s v="CUST-1031"/>
    <x v="1"/>
    <x v="0"/>
    <x v="0"/>
    <x v="2"/>
    <x v="3"/>
    <n v="1"/>
    <x v="194"/>
    <n v="15209000"/>
    <n v="2366000"/>
    <x v="0"/>
  </r>
  <r>
    <s v="ORD-0196"/>
    <x v="154"/>
    <s v="CUST-1103"/>
    <x v="0"/>
    <x v="3"/>
    <x v="0"/>
    <x v="1"/>
    <x v="3"/>
    <n v="1"/>
    <x v="195"/>
    <n v="21025000"/>
    <n v="5145000"/>
    <x v="0"/>
  </r>
  <r>
    <s v="ORD-0197"/>
    <x v="44"/>
    <s v="CUST-1036"/>
    <x v="0"/>
    <x v="0"/>
    <x v="0"/>
    <x v="3"/>
    <x v="0"/>
    <n v="1"/>
    <x v="196"/>
    <n v="13991000"/>
    <n v="4144000"/>
    <x v="0"/>
  </r>
  <r>
    <s v="ORD-0198"/>
    <x v="155"/>
    <s v="CUST-1137"/>
    <x v="0"/>
    <x v="0"/>
    <x v="0"/>
    <x v="4"/>
    <x v="4"/>
    <n v="1"/>
    <x v="197"/>
    <n v="14263000"/>
    <n v="-1576000"/>
    <x v="0"/>
  </r>
  <r>
    <s v="ORD-0199"/>
    <x v="54"/>
    <s v="CUST-1204"/>
    <x v="0"/>
    <x v="4"/>
    <x v="0"/>
    <x v="0"/>
    <x v="0"/>
    <n v="1"/>
    <x v="198"/>
    <n v="24313000"/>
    <n v="4973000"/>
    <x v="0"/>
  </r>
  <r>
    <s v="ORD-0200"/>
    <x v="64"/>
    <s v="CUST-1123"/>
    <x v="0"/>
    <x v="4"/>
    <x v="0"/>
    <x v="2"/>
    <x v="0"/>
    <n v="3"/>
    <x v="199"/>
    <n v="67704000"/>
    <n v="19096000"/>
    <x v="0"/>
  </r>
  <r>
    <s v="ORD-0201"/>
    <x v="156"/>
    <s v="CUST-1180"/>
    <x v="0"/>
    <x v="2"/>
    <x v="1"/>
    <x v="0"/>
    <x v="2"/>
    <n v="1"/>
    <x v="200"/>
    <n v="19290000"/>
    <n v="1311000"/>
    <x v="0"/>
  </r>
  <r>
    <s v="ORD-0202"/>
    <x v="130"/>
    <s v="CUST-1121"/>
    <x v="1"/>
    <x v="3"/>
    <x v="0"/>
    <x v="0"/>
    <x v="4"/>
    <n v="1"/>
    <x v="201"/>
    <n v="21804000"/>
    <n v="3808000"/>
    <x v="0"/>
  </r>
  <r>
    <s v="ORD-0203"/>
    <x v="129"/>
    <s v="CUST-1118"/>
    <x v="0"/>
    <x v="1"/>
    <x v="1"/>
    <x v="1"/>
    <x v="5"/>
    <n v="3"/>
    <x v="202"/>
    <n v="128893000"/>
    <n v="27448000"/>
    <x v="1"/>
  </r>
  <r>
    <s v="ORD-0204"/>
    <x v="157"/>
    <s v="CUST-1050"/>
    <x v="0"/>
    <x v="3"/>
    <x v="0"/>
    <x v="2"/>
    <x v="5"/>
    <n v="1"/>
    <x v="203"/>
    <n v="22221000"/>
    <n v="4905000"/>
    <x v="0"/>
  </r>
  <r>
    <s v="ORD-0205"/>
    <x v="69"/>
    <s v="CUST-1126"/>
    <x v="0"/>
    <x v="4"/>
    <x v="0"/>
    <x v="3"/>
    <x v="1"/>
    <n v="3"/>
    <x v="204"/>
    <n v="71026000"/>
    <n v="17916000"/>
    <x v="0"/>
  </r>
  <r>
    <s v="ORD-0206"/>
    <x v="158"/>
    <s v="CUST-1230"/>
    <x v="0"/>
    <x v="5"/>
    <x v="1"/>
    <x v="4"/>
    <x v="5"/>
    <n v="1"/>
    <x v="205"/>
    <n v="35761000"/>
    <n v="-5500000"/>
    <x v="0"/>
  </r>
  <r>
    <s v="ORD-0207"/>
    <x v="159"/>
    <s v="CUST-1123"/>
    <x v="1"/>
    <x v="4"/>
    <x v="0"/>
    <x v="2"/>
    <x v="2"/>
    <n v="1"/>
    <x v="206"/>
    <n v="23066000"/>
    <n v="5007000"/>
    <x v="0"/>
  </r>
  <r>
    <s v="ORD-0208"/>
    <x v="52"/>
    <s v="CUST-1013"/>
    <x v="1"/>
    <x v="4"/>
    <x v="0"/>
    <x v="1"/>
    <x v="2"/>
    <n v="1"/>
    <x v="207"/>
    <n v="23759000"/>
    <n v="3436000"/>
    <x v="0"/>
  </r>
  <r>
    <s v="ORD-0209"/>
    <x v="160"/>
    <s v="CUST-1247"/>
    <x v="1"/>
    <x v="4"/>
    <x v="0"/>
    <x v="1"/>
    <x v="2"/>
    <n v="1"/>
    <x v="208"/>
    <n v="23620000"/>
    <n v="-217000"/>
    <x v="0"/>
  </r>
  <r>
    <s v="ORD-0210"/>
    <x v="161"/>
    <s v="CUST-1074"/>
    <x v="0"/>
    <x v="6"/>
    <x v="2"/>
    <x v="0"/>
    <x v="3"/>
    <n v="1"/>
    <x v="209"/>
    <n v="51792000"/>
    <n v="10707000"/>
    <x v="0"/>
  </r>
  <r>
    <s v="ORD-0211"/>
    <x v="21"/>
    <s v="CUST-1226"/>
    <x v="1"/>
    <x v="5"/>
    <x v="1"/>
    <x v="2"/>
    <x v="3"/>
    <n v="1"/>
    <x v="210"/>
    <n v="36967000"/>
    <n v="471000"/>
    <x v="0"/>
  </r>
  <r>
    <s v="ORD-0212"/>
    <x v="112"/>
    <s v="CUST-1077"/>
    <x v="1"/>
    <x v="2"/>
    <x v="1"/>
    <x v="1"/>
    <x v="0"/>
    <n v="1"/>
    <x v="211"/>
    <n v="19383000"/>
    <n v="5899000"/>
    <x v="0"/>
  </r>
  <r>
    <s v="ORD-0213"/>
    <x v="162"/>
    <s v="CUST-1035"/>
    <x v="1"/>
    <x v="7"/>
    <x v="1"/>
    <x v="1"/>
    <x v="1"/>
    <n v="1"/>
    <x v="212"/>
    <n v="18345000"/>
    <n v="4169000"/>
    <x v="0"/>
  </r>
  <r>
    <s v="ORD-0214"/>
    <x v="111"/>
    <s v="CUST-1189"/>
    <x v="1"/>
    <x v="4"/>
    <x v="0"/>
    <x v="3"/>
    <x v="5"/>
    <n v="1"/>
    <x v="213"/>
    <n v="22637000"/>
    <n v="5853000"/>
    <x v="0"/>
  </r>
  <r>
    <s v="ORD-0215"/>
    <x v="163"/>
    <s v="CUST-1084"/>
    <x v="1"/>
    <x v="6"/>
    <x v="2"/>
    <x v="0"/>
    <x v="1"/>
    <n v="1"/>
    <x v="214"/>
    <n v="50023000"/>
    <n v="12382000"/>
    <x v="0"/>
  </r>
  <r>
    <s v="ORD-0216"/>
    <x v="53"/>
    <s v="CUST-1115"/>
    <x v="0"/>
    <x v="0"/>
    <x v="0"/>
    <x v="3"/>
    <x v="5"/>
    <n v="1"/>
    <x v="215"/>
    <n v="13785000"/>
    <n v="5325000"/>
    <x v="0"/>
  </r>
  <r>
    <s v="ORD-0217"/>
    <x v="29"/>
    <s v="CUST-1120"/>
    <x v="0"/>
    <x v="5"/>
    <x v="1"/>
    <x v="3"/>
    <x v="2"/>
    <n v="1"/>
    <x v="216"/>
    <n v="34564000"/>
    <n v="-4014000"/>
    <x v="0"/>
  </r>
  <r>
    <s v="ORD-0218"/>
    <x v="164"/>
    <s v="CUST-1241"/>
    <x v="0"/>
    <x v="6"/>
    <x v="2"/>
    <x v="3"/>
    <x v="5"/>
    <n v="2"/>
    <x v="217"/>
    <n v="102922000"/>
    <n v="23968000"/>
    <x v="0"/>
  </r>
  <r>
    <s v="ORD-0219"/>
    <x v="165"/>
    <s v="CUST-1180"/>
    <x v="0"/>
    <x v="4"/>
    <x v="0"/>
    <x v="1"/>
    <x v="1"/>
    <n v="1"/>
    <x v="218"/>
    <n v="24334000"/>
    <n v="-984000"/>
    <x v="0"/>
  </r>
  <r>
    <s v="ORD-0220"/>
    <x v="52"/>
    <s v="CUST-1135"/>
    <x v="0"/>
    <x v="2"/>
    <x v="1"/>
    <x v="4"/>
    <x v="0"/>
    <n v="1"/>
    <x v="219"/>
    <n v="19990000"/>
    <n v="4693000"/>
    <x v="0"/>
  </r>
  <r>
    <s v="ORD-0221"/>
    <x v="166"/>
    <s v="CUST-1138"/>
    <x v="0"/>
    <x v="3"/>
    <x v="0"/>
    <x v="2"/>
    <x v="2"/>
    <n v="1"/>
    <x v="220"/>
    <n v="22678000"/>
    <n v="5087000"/>
    <x v="0"/>
  </r>
  <r>
    <s v="ORD-0222"/>
    <x v="55"/>
    <s v="CUST-1115"/>
    <x v="1"/>
    <x v="7"/>
    <x v="1"/>
    <x v="0"/>
    <x v="1"/>
    <n v="1"/>
    <x v="221"/>
    <n v="18280000"/>
    <n v="-1914000"/>
    <x v="0"/>
  </r>
  <r>
    <s v="ORD-0223"/>
    <x v="167"/>
    <s v="CUST-1102"/>
    <x v="1"/>
    <x v="1"/>
    <x v="1"/>
    <x v="3"/>
    <x v="3"/>
    <n v="1"/>
    <x v="222"/>
    <n v="44835000"/>
    <n v="7171000"/>
    <x v="0"/>
  </r>
  <r>
    <s v="ORD-0224"/>
    <x v="168"/>
    <s v="CUST-1018"/>
    <x v="1"/>
    <x v="5"/>
    <x v="1"/>
    <x v="4"/>
    <x v="3"/>
    <n v="1"/>
    <x v="223"/>
    <n v="37254000"/>
    <n v="3522000"/>
    <x v="0"/>
  </r>
  <r>
    <s v="ORD-0225"/>
    <x v="169"/>
    <s v="CUST-1229"/>
    <x v="0"/>
    <x v="3"/>
    <x v="0"/>
    <x v="4"/>
    <x v="1"/>
    <n v="1"/>
    <x v="224"/>
    <n v="22118000"/>
    <n v="6162000"/>
    <x v="0"/>
  </r>
  <r>
    <s v="ORD-0226"/>
    <x v="4"/>
    <s v="CUST-1046"/>
    <x v="0"/>
    <x v="3"/>
    <x v="0"/>
    <x v="1"/>
    <x v="1"/>
    <n v="1"/>
    <x v="225"/>
    <n v="22135000"/>
    <n v="4633000"/>
    <x v="0"/>
  </r>
  <r>
    <s v="ORD-0227"/>
    <x v="170"/>
    <s v="CUST-1185"/>
    <x v="0"/>
    <x v="0"/>
    <x v="0"/>
    <x v="1"/>
    <x v="1"/>
    <n v="2"/>
    <x v="226"/>
    <n v="30388000"/>
    <n v="6991000"/>
    <x v="0"/>
  </r>
  <r>
    <s v="ORD-0228"/>
    <x v="14"/>
    <s v="CUST-1196"/>
    <x v="1"/>
    <x v="3"/>
    <x v="0"/>
    <x v="0"/>
    <x v="3"/>
    <n v="1"/>
    <x v="227"/>
    <n v="21121000"/>
    <n v="4323000"/>
    <x v="0"/>
  </r>
  <r>
    <s v="ORD-0229"/>
    <x v="123"/>
    <s v="CUST-1009"/>
    <x v="0"/>
    <x v="3"/>
    <x v="0"/>
    <x v="4"/>
    <x v="0"/>
    <n v="2"/>
    <x v="228"/>
    <n v="42319000"/>
    <n v="7609000"/>
    <x v="0"/>
  </r>
  <r>
    <s v="ORD-0230"/>
    <x v="171"/>
    <s v="CUST-1222"/>
    <x v="1"/>
    <x v="2"/>
    <x v="1"/>
    <x v="0"/>
    <x v="2"/>
    <n v="1"/>
    <x v="229"/>
    <n v="19274000"/>
    <n v="4541000"/>
    <x v="0"/>
  </r>
  <r>
    <s v="ORD-0231"/>
    <x v="172"/>
    <s v="CUST-1210"/>
    <x v="1"/>
    <x v="7"/>
    <x v="1"/>
    <x v="3"/>
    <x v="2"/>
    <n v="2"/>
    <x v="230"/>
    <n v="36884000"/>
    <n v="7771000"/>
    <x v="0"/>
  </r>
  <r>
    <s v="ORD-0232"/>
    <x v="29"/>
    <s v="CUST-1152"/>
    <x v="0"/>
    <x v="7"/>
    <x v="1"/>
    <x v="2"/>
    <x v="4"/>
    <n v="1"/>
    <x v="231"/>
    <n v="17889000"/>
    <n v="-2148000"/>
    <x v="0"/>
  </r>
  <r>
    <s v="ORD-0233"/>
    <x v="121"/>
    <s v="CUST-1082"/>
    <x v="1"/>
    <x v="3"/>
    <x v="0"/>
    <x v="4"/>
    <x v="1"/>
    <n v="3"/>
    <x v="232"/>
    <n v="66521000"/>
    <n v="17940000"/>
    <x v="0"/>
  </r>
  <r>
    <s v="ORD-0234"/>
    <x v="173"/>
    <s v="CUST-1037"/>
    <x v="1"/>
    <x v="4"/>
    <x v="0"/>
    <x v="4"/>
    <x v="3"/>
    <n v="1"/>
    <x v="233"/>
    <n v="22563000"/>
    <n v="5120000"/>
    <x v="0"/>
  </r>
  <r>
    <s v="ORD-0235"/>
    <x v="174"/>
    <s v="CUST-1021"/>
    <x v="1"/>
    <x v="3"/>
    <x v="0"/>
    <x v="4"/>
    <x v="5"/>
    <n v="1"/>
    <x v="234"/>
    <n v="21266000"/>
    <n v="4982000"/>
    <x v="0"/>
  </r>
  <r>
    <s v="ORD-0236"/>
    <x v="79"/>
    <s v="CUST-1019"/>
    <x v="0"/>
    <x v="5"/>
    <x v="1"/>
    <x v="2"/>
    <x v="0"/>
    <n v="1"/>
    <x v="235"/>
    <n v="35873000"/>
    <n v="6655000"/>
    <x v="0"/>
  </r>
  <r>
    <s v="ORD-0237"/>
    <x v="139"/>
    <s v="CUST-1240"/>
    <x v="1"/>
    <x v="5"/>
    <x v="1"/>
    <x v="2"/>
    <x v="4"/>
    <n v="2"/>
    <x v="236"/>
    <n v="74245000"/>
    <n v="10318000"/>
    <x v="0"/>
  </r>
  <r>
    <s v="ORD-0238"/>
    <x v="175"/>
    <s v="CUST-1062"/>
    <x v="0"/>
    <x v="2"/>
    <x v="1"/>
    <x v="1"/>
    <x v="5"/>
    <n v="2"/>
    <x v="237"/>
    <n v="40407000"/>
    <n v="9054000"/>
    <x v="0"/>
  </r>
  <r>
    <s v="ORD-0239"/>
    <x v="126"/>
    <s v="CUST-1026"/>
    <x v="1"/>
    <x v="3"/>
    <x v="0"/>
    <x v="4"/>
    <x v="5"/>
    <n v="1"/>
    <x v="238"/>
    <n v="21828000"/>
    <n v="3983000"/>
    <x v="0"/>
  </r>
  <r>
    <s v="ORD-0240"/>
    <x v="176"/>
    <s v="CUST-1240"/>
    <x v="1"/>
    <x v="3"/>
    <x v="0"/>
    <x v="1"/>
    <x v="0"/>
    <n v="1"/>
    <x v="239"/>
    <n v="21028000"/>
    <n v="4644000"/>
    <x v="0"/>
  </r>
  <r>
    <s v="ORD-0241"/>
    <x v="177"/>
    <s v="CUST-1242"/>
    <x v="1"/>
    <x v="4"/>
    <x v="0"/>
    <x v="3"/>
    <x v="5"/>
    <n v="1"/>
    <x v="240"/>
    <n v="22610000"/>
    <n v="6291000"/>
    <x v="0"/>
  </r>
  <r>
    <s v="ORD-0242"/>
    <x v="31"/>
    <s v="CUST-1185"/>
    <x v="0"/>
    <x v="7"/>
    <x v="1"/>
    <x v="1"/>
    <x v="1"/>
    <n v="1"/>
    <x v="241"/>
    <n v="18840000"/>
    <n v="2321000"/>
    <x v="0"/>
  </r>
  <r>
    <s v="ORD-0243"/>
    <x v="178"/>
    <s v="CUST-1242"/>
    <x v="1"/>
    <x v="7"/>
    <x v="1"/>
    <x v="0"/>
    <x v="3"/>
    <n v="1"/>
    <x v="242"/>
    <n v="17447000"/>
    <n v="3401000"/>
    <x v="0"/>
  </r>
  <r>
    <s v="ORD-0244"/>
    <x v="179"/>
    <s v="CUST-1016"/>
    <x v="0"/>
    <x v="0"/>
    <x v="0"/>
    <x v="1"/>
    <x v="4"/>
    <n v="1"/>
    <x v="243"/>
    <n v="14092000"/>
    <n v="3181000"/>
    <x v="0"/>
  </r>
  <r>
    <s v="ORD-0245"/>
    <x v="40"/>
    <s v="CUST-1005"/>
    <x v="0"/>
    <x v="7"/>
    <x v="1"/>
    <x v="1"/>
    <x v="4"/>
    <n v="1"/>
    <x v="244"/>
    <n v="18359000"/>
    <n v="2366000"/>
    <x v="0"/>
  </r>
  <r>
    <s v="ORD-0246"/>
    <x v="180"/>
    <s v="CUST-1046"/>
    <x v="1"/>
    <x v="5"/>
    <x v="1"/>
    <x v="0"/>
    <x v="3"/>
    <n v="1"/>
    <x v="245"/>
    <n v="35254000"/>
    <n v="9067000"/>
    <x v="0"/>
  </r>
  <r>
    <s v="ORD-0247"/>
    <x v="181"/>
    <s v="CUST-1096"/>
    <x v="1"/>
    <x v="0"/>
    <x v="0"/>
    <x v="4"/>
    <x v="1"/>
    <n v="1"/>
    <x v="246"/>
    <n v="14163000"/>
    <n v="4665000"/>
    <x v="0"/>
  </r>
  <r>
    <s v="ORD-0248"/>
    <x v="182"/>
    <s v="CUST-1167"/>
    <x v="0"/>
    <x v="4"/>
    <x v="0"/>
    <x v="0"/>
    <x v="3"/>
    <n v="1"/>
    <x v="247"/>
    <n v="22227000"/>
    <n v="7631000"/>
    <x v="1"/>
  </r>
  <r>
    <s v="ORD-0249"/>
    <x v="164"/>
    <s v="CUST-1112"/>
    <x v="0"/>
    <x v="3"/>
    <x v="0"/>
    <x v="3"/>
    <x v="0"/>
    <n v="1"/>
    <x v="248"/>
    <n v="21084000"/>
    <n v="3859000"/>
    <x v="0"/>
  </r>
  <r>
    <s v="ORD-0250"/>
    <x v="183"/>
    <s v="CUST-1070"/>
    <x v="0"/>
    <x v="7"/>
    <x v="1"/>
    <x v="0"/>
    <x v="3"/>
    <n v="1"/>
    <x v="249"/>
    <n v="18652000"/>
    <n v="4606000"/>
    <x v="0"/>
  </r>
  <r>
    <s v="ORD-0251"/>
    <x v="184"/>
    <s v="CUST-1247"/>
    <x v="0"/>
    <x v="7"/>
    <x v="1"/>
    <x v="2"/>
    <x v="0"/>
    <n v="1"/>
    <x v="250"/>
    <n v="19085000"/>
    <n v="1689000"/>
    <x v="0"/>
  </r>
  <r>
    <s v="ORD-0252"/>
    <x v="85"/>
    <s v="CUST-1214"/>
    <x v="0"/>
    <x v="2"/>
    <x v="1"/>
    <x v="4"/>
    <x v="4"/>
    <n v="1"/>
    <x v="251"/>
    <n v="19132000"/>
    <n v="3668000"/>
    <x v="0"/>
  </r>
  <r>
    <s v="ORD-0253"/>
    <x v="56"/>
    <s v="CUST-1250"/>
    <x v="0"/>
    <x v="3"/>
    <x v="0"/>
    <x v="3"/>
    <x v="3"/>
    <n v="1"/>
    <x v="252"/>
    <n v="22289000"/>
    <n v="6026000"/>
    <x v="0"/>
  </r>
  <r>
    <s v="ORD-0254"/>
    <x v="98"/>
    <s v="CUST-1199"/>
    <x v="0"/>
    <x v="3"/>
    <x v="0"/>
    <x v="3"/>
    <x v="3"/>
    <n v="1"/>
    <x v="253"/>
    <n v="22792000"/>
    <n v="4767000"/>
    <x v="0"/>
  </r>
  <r>
    <s v="ORD-0255"/>
    <x v="185"/>
    <s v="CUST-1175"/>
    <x v="0"/>
    <x v="4"/>
    <x v="0"/>
    <x v="1"/>
    <x v="4"/>
    <n v="1"/>
    <x v="254"/>
    <n v="24223000"/>
    <n v="-1174000"/>
    <x v="0"/>
  </r>
  <r>
    <s v="ORD-0256"/>
    <x v="186"/>
    <s v="CUST-1183"/>
    <x v="0"/>
    <x v="0"/>
    <x v="0"/>
    <x v="2"/>
    <x v="4"/>
    <n v="1"/>
    <x v="255"/>
    <n v="13894000"/>
    <n v="4695000"/>
    <x v="0"/>
  </r>
  <r>
    <s v="ORD-0257"/>
    <x v="187"/>
    <s v="CUST-1034"/>
    <x v="1"/>
    <x v="3"/>
    <x v="0"/>
    <x v="0"/>
    <x v="2"/>
    <n v="1"/>
    <x v="256"/>
    <n v="21495000"/>
    <n v="4477000"/>
    <x v="0"/>
  </r>
  <r>
    <s v="ORD-0258"/>
    <x v="39"/>
    <s v="CUST-1154"/>
    <x v="1"/>
    <x v="1"/>
    <x v="1"/>
    <x v="3"/>
    <x v="1"/>
    <n v="1"/>
    <x v="257"/>
    <n v="42865000"/>
    <n v="6193000"/>
    <x v="0"/>
  </r>
  <r>
    <s v="ORD-0259"/>
    <x v="68"/>
    <s v="CUST-1147"/>
    <x v="1"/>
    <x v="4"/>
    <x v="0"/>
    <x v="1"/>
    <x v="2"/>
    <n v="1"/>
    <x v="258"/>
    <n v="24140000"/>
    <n v="5989000"/>
    <x v="1"/>
  </r>
  <r>
    <s v="ORD-0260"/>
    <x v="184"/>
    <s v="CUST-1108"/>
    <x v="1"/>
    <x v="3"/>
    <x v="0"/>
    <x v="3"/>
    <x v="1"/>
    <n v="1"/>
    <x v="259"/>
    <n v="20848000"/>
    <n v="5761000"/>
    <x v="0"/>
  </r>
  <r>
    <s v="ORD-0261"/>
    <x v="188"/>
    <s v="CUST-1035"/>
    <x v="0"/>
    <x v="3"/>
    <x v="0"/>
    <x v="3"/>
    <x v="3"/>
    <n v="1"/>
    <x v="260"/>
    <n v="22054000"/>
    <n v="4564000"/>
    <x v="0"/>
  </r>
  <r>
    <s v="ORD-0262"/>
    <x v="189"/>
    <s v="CUST-1221"/>
    <x v="0"/>
    <x v="3"/>
    <x v="0"/>
    <x v="1"/>
    <x v="2"/>
    <n v="1"/>
    <x v="261"/>
    <n v="21440000"/>
    <n v="4605000"/>
    <x v="0"/>
  </r>
  <r>
    <s v="ORD-0263"/>
    <x v="190"/>
    <s v="CUST-1075"/>
    <x v="0"/>
    <x v="3"/>
    <x v="0"/>
    <x v="4"/>
    <x v="0"/>
    <n v="1"/>
    <x v="262"/>
    <n v="22813000"/>
    <n v="-4098000"/>
    <x v="1"/>
  </r>
  <r>
    <s v="ORD-0264"/>
    <x v="18"/>
    <s v="CUST-1140"/>
    <x v="1"/>
    <x v="3"/>
    <x v="0"/>
    <x v="2"/>
    <x v="4"/>
    <n v="1"/>
    <x v="263"/>
    <n v="22742000"/>
    <n v="3425000"/>
    <x v="0"/>
  </r>
  <r>
    <s v="ORD-0265"/>
    <x v="191"/>
    <s v="CUST-1018"/>
    <x v="0"/>
    <x v="0"/>
    <x v="0"/>
    <x v="4"/>
    <x v="4"/>
    <n v="2"/>
    <x v="264"/>
    <n v="29863000"/>
    <n v="4958000"/>
    <x v="0"/>
  </r>
  <r>
    <s v="ORD-0266"/>
    <x v="192"/>
    <s v="CUST-1115"/>
    <x v="1"/>
    <x v="0"/>
    <x v="0"/>
    <x v="1"/>
    <x v="1"/>
    <n v="1"/>
    <x v="265"/>
    <n v="14389000"/>
    <n v="2892000"/>
    <x v="0"/>
  </r>
  <r>
    <s v="ORD-0267"/>
    <x v="193"/>
    <s v="CUST-1093"/>
    <x v="1"/>
    <x v="3"/>
    <x v="0"/>
    <x v="1"/>
    <x v="0"/>
    <n v="2"/>
    <x v="266"/>
    <n v="43790000"/>
    <n v="10796000"/>
    <x v="0"/>
  </r>
  <r>
    <s v="ORD-0268"/>
    <x v="160"/>
    <s v="CUST-1145"/>
    <x v="1"/>
    <x v="7"/>
    <x v="1"/>
    <x v="4"/>
    <x v="5"/>
    <n v="1"/>
    <x v="267"/>
    <n v="17689000"/>
    <n v="827000"/>
    <x v="0"/>
  </r>
  <r>
    <s v="ORD-0269"/>
    <x v="39"/>
    <s v="CUST-1057"/>
    <x v="1"/>
    <x v="0"/>
    <x v="0"/>
    <x v="4"/>
    <x v="5"/>
    <n v="1"/>
    <x v="268"/>
    <n v="14584000"/>
    <n v="4084000"/>
    <x v="0"/>
  </r>
  <r>
    <s v="ORD-0270"/>
    <x v="194"/>
    <s v="CUST-1076"/>
    <x v="0"/>
    <x v="1"/>
    <x v="1"/>
    <x v="4"/>
    <x v="3"/>
    <n v="1"/>
    <x v="269"/>
    <n v="45665000"/>
    <n v="4234000"/>
    <x v="0"/>
  </r>
  <r>
    <s v="ORD-0271"/>
    <x v="195"/>
    <s v="CUST-1090"/>
    <x v="0"/>
    <x v="2"/>
    <x v="1"/>
    <x v="4"/>
    <x v="3"/>
    <n v="1"/>
    <x v="270"/>
    <n v="20363000"/>
    <n v="3267000"/>
    <x v="0"/>
  </r>
  <r>
    <s v="ORD-0272"/>
    <x v="124"/>
    <s v="CUST-1088"/>
    <x v="1"/>
    <x v="2"/>
    <x v="1"/>
    <x v="0"/>
    <x v="4"/>
    <n v="1"/>
    <x v="271"/>
    <n v="20217000"/>
    <n v="2482000"/>
    <x v="0"/>
  </r>
  <r>
    <s v="ORD-0273"/>
    <x v="196"/>
    <s v="CUST-1119"/>
    <x v="0"/>
    <x v="7"/>
    <x v="1"/>
    <x v="2"/>
    <x v="1"/>
    <n v="1"/>
    <x v="272"/>
    <n v="17991000"/>
    <n v="4267000"/>
    <x v="0"/>
  </r>
  <r>
    <s v="ORD-0274"/>
    <x v="156"/>
    <s v="CUST-1152"/>
    <x v="0"/>
    <x v="4"/>
    <x v="0"/>
    <x v="4"/>
    <x v="1"/>
    <n v="1"/>
    <x v="273"/>
    <n v="23465000"/>
    <n v="-1409000"/>
    <x v="0"/>
  </r>
  <r>
    <s v="ORD-0275"/>
    <x v="197"/>
    <s v="CUST-1224"/>
    <x v="1"/>
    <x v="2"/>
    <x v="1"/>
    <x v="1"/>
    <x v="2"/>
    <n v="1"/>
    <x v="274"/>
    <n v="18934000"/>
    <n v="6149000"/>
    <x v="0"/>
  </r>
  <r>
    <s v="ORD-0276"/>
    <x v="198"/>
    <s v="CUST-1153"/>
    <x v="1"/>
    <x v="3"/>
    <x v="0"/>
    <x v="4"/>
    <x v="0"/>
    <n v="1"/>
    <x v="275"/>
    <n v="21860000"/>
    <n v="6022000"/>
    <x v="0"/>
  </r>
  <r>
    <s v="ORD-0277"/>
    <x v="194"/>
    <s v="CUST-1077"/>
    <x v="1"/>
    <x v="5"/>
    <x v="1"/>
    <x v="1"/>
    <x v="0"/>
    <n v="2"/>
    <x v="276"/>
    <n v="73228000"/>
    <n v="14514000"/>
    <x v="0"/>
  </r>
  <r>
    <s v="ORD-0278"/>
    <x v="199"/>
    <s v="CUST-1100"/>
    <x v="1"/>
    <x v="6"/>
    <x v="2"/>
    <x v="4"/>
    <x v="0"/>
    <n v="1"/>
    <x v="277"/>
    <n v="49860000"/>
    <n v="8407000"/>
    <x v="0"/>
  </r>
  <r>
    <s v="ORD-0279"/>
    <x v="129"/>
    <s v="CUST-1045"/>
    <x v="1"/>
    <x v="5"/>
    <x v="1"/>
    <x v="1"/>
    <x v="2"/>
    <n v="1"/>
    <x v="278"/>
    <n v="36988000"/>
    <n v="6436000"/>
    <x v="0"/>
  </r>
  <r>
    <s v="ORD-0280"/>
    <x v="31"/>
    <s v="CUST-1125"/>
    <x v="1"/>
    <x v="4"/>
    <x v="0"/>
    <x v="2"/>
    <x v="2"/>
    <n v="2"/>
    <x v="279"/>
    <n v="48096000"/>
    <n v="10074000"/>
    <x v="1"/>
  </r>
  <r>
    <s v="ORD-0281"/>
    <x v="50"/>
    <s v="CUST-1126"/>
    <x v="1"/>
    <x v="7"/>
    <x v="1"/>
    <x v="2"/>
    <x v="3"/>
    <n v="1"/>
    <x v="280"/>
    <n v="18146000"/>
    <n v="4492000"/>
    <x v="0"/>
  </r>
  <r>
    <s v="ORD-0282"/>
    <x v="182"/>
    <s v="CUST-1118"/>
    <x v="0"/>
    <x v="0"/>
    <x v="0"/>
    <x v="1"/>
    <x v="4"/>
    <n v="1"/>
    <x v="143"/>
    <n v="14555000"/>
    <n v="3008000"/>
    <x v="0"/>
  </r>
  <r>
    <s v="ORD-0283"/>
    <x v="200"/>
    <s v="CUST-1211"/>
    <x v="1"/>
    <x v="5"/>
    <x v="1"/>
    <x v="0"/>
    <x v="4"/>
    <n v="1"/>
    <x v="281"/>
    <n v="36648000"/>
    <n v="8105000"/>
    <x v="0"/>
  </r>
  <r>
    <s v="ORD-0284"/>
    <x v="116"/>
    <s v="CUST-1009"/>
    <x v="0"/>
    <x v="5"/>
    <x v="1"/>
    <x v="4"/>
    <x v="5"/>
    <n v="1"/>
    <x v="282"/>
    <n v="36392000"/>
    <n v="8668000"/>
    <x v="0"/>
  </r>
  <r>
    <s v="ORD-0285"/>
    <x v="158"/>
    <s v="CUST-1189"/>
    <x v="1"/>
    <x v="7"/>
    <x v="1"/>
    <x v="1"/>
    <x v="4"/>
    <n v="2"/>
    <x v="283"/>
    <n v="37742000"/>
    <n v="-7479000"/>
    <x v="0"/>
  </r>
  <r>
    <s v="ORD-0286"/>
    <x v="109"/>
    <s v="CUST-1207"/>
    <x v="0"/>
    <x v="7"/>
    <x v="1"/>
    <x v="0"/>
    <x v="0"/>
    <n v="1"/>
    <x v="284"/>
    <n v="18821000"/>
    <n v="-2663000"/>
    <x v="0"/>
  </r>
  <r>
    <s v="ORD-0287"/>
    <x v="109"/>
    <s v="CUST-1244"/>
    <x v="0"/>
    <x v="5"/>
    <x v="1"/>
    <x v="1"/>
    <x v="4"/>
    <n v="1"/>
    <x v="285"/>
    <n v="34764000"/>
    <n v="-1721000"/>
    <x v="0"/>
  </r>
  <r>
    <s v="ORD-0288"/>
    <x v="183"/>
    <s v="CUST-1180"/>
    <x v="0"/>
    <x v="0"/>
    <x v="0"/>
    <x v="2"/>
    <x v="2"/>
    <n v="1"/>
    <x v="286"/>
    <n v="14177000"/>
    <n v="2882000"/>
    <x v="0"/>
  </r>
  <r>
    <s v="ORD-0289"/>
    <x v="159"/>
    <s v="CUST-1069"/>
    <x v="0"/>
    <x v="2"/>
    <x v="1"/>
    <x v="4"/>
    <x v="1"/>
    <n v="1"/>
    <x v="287"/>
    <n v="19779000"/>
    <n v="4891000"/>
    <x v="0"/>
  </r>
  <r>
    <s v="ORD-0290"/>
    <x v="201"/>
    <s v="CUST-1225"/>
    <x v="0"/>
    <x v="0"/>
    <x v="0"/>
    <x v="3"/>
    <x v="1"/>
    <n v="1"/>
    <x v="288"/>
    <n v="14862000"/>
    <n v="3001000"/>
    <x v="0"/>
  </r>
  <r>
    <s v="ORD-0291"/>
    <x v="202"/>
    <s v="CUST-1171"/>
    <x v="1"/>
    <x v="3"/>
    <x v="0"/>
    <x v="3"/>
    <x v="3"/>
    <n v="1"/>
    <x v="289"/>
    <n v="22303000"/>
    <n v="5131000"/>
    <x v="0"/>
  </r>
  <r>
    <s v="ORD-0292"/>
    <x v="125"/>
    <s v="CUST-1141"/>
    <x v="0"/>
    <x v="3"/>
    <x v="0"/>
    <x v="1"/>
    <x v="2"/>
    <n v="2"/>
    <x v="290"/>
    <n v="42828000"/>
    <n v="10401000"/>
    <x v="0"/>
  </r>
  <r>
    <s v="ORD-0293"/>
    <x v="182"/>
    <s v="CUST-1215"/>
    <x v="0"/>
    <x v="7"/>
    <x v="1"/>
    <x v="4"/>
    <x v="3"/>
    <n v="2"/>
    <x v="291"/>
    <n v="34938000"/>
    <n v="10782000"/>
    <x v="0"/>
  </r>
  <r>
    <s v="ORD-0294"/>
    <x v="203"/>
    <s v="CUST-1233"/>
    <x v="1"/>
    <x v="7"/>
    <x v="1"/>
    <x v="2"/>
    <x v="4"/>
    <n v="1"/>
    <x v="292"/>
    <n v="18168000"/>
    <n v="5349000"/>
    <x v="1"/>
  </r>
  <r>
    <s v="ORD-0295"/>
    <x v="29"/>
    <s v="CUST-1232"/>
    <x v="0"/>
    <x v="0"/>
    <x v="0"/>
    <x v="2"/>
    <x v="3"/>
    <n v="1"/>
    <x v="293"/>
    <n v="14138000"/>
    <n v="-853000"/>
    <x v="0"/>
  </r>
  <r>
    <s v="ORD-0296"/>
    <x v="189"/>
    <s v="CUST-1055"/>
    <x v="0"/>
    <x v="5"/>
    <x v="1"/>
    <x v="4"/>
    <x v="3"/>
    <n v="1"/>
    <x v="294"/>
    <n v="34049000"/>
    <n v="8770000"/>
    <x v="0"/>
  </r>
  <r>
    <s v="ORD-0297"/>
    <x v="167"/>
    <s v="CUST-1221"/>
    <x v="1"/>
    <x v="5"/>
    <x v="1"/>
    <x v="4"/>
    <x v="4"/>
    <n v="1"/>
    <x v="295"/>
    <n v="34945000"/>
    <n v="5520000"/>
    <x v="0"/>
  </r>
  <r>
    <s v="ORD-0298"/>
    <x v="167"/>
    <s v="CUST-1077"/>
    <x v="1"/>
    <x v="1"/>
    <x v="1"/>
    <x v="2"/>
    <x v="1"/>
    <n v="1"/>
    <x v="296"/>
    <n v="41774000"/>
    <n v="12554000"/>
    <x v="0"/>
  </r>
  <r>
    <s v="ORD-0299"/>
    <x v="153"/>
    <s v="CUST-1090"/>
    <x v="0"/>
    <x v="6"/>
    <x v="2"/>
    <x v="2"/>
    <x v="4"/>
    <n v="1"/>
    <x v="297"/>
    <n v="51057000"/>
    <n v="10750000"/>
    <x v="0"/>
  </r>
  <r>
    <s v="ORD-0300"/>
    <x v="204"/>
    <s v="CUST-1032"/>
    <x v="0"/>
    <x v="7"/>
    <x v="1"/>
    <x v="1"/>
    <x v="4"/>
    <n v="1"/>
    <x v="298"/>
    <n v="19026000"/>
    <n v="2275000"/>
    <x v="0"/>
  </r>
  <r>
    <s v="ORD-0301"/>
    <x v="50"/>
    <s v="CUST-1154"/>
    <x v="1"/>
    <x v="3"/>
    <x v="0"/>
    <x v="1"/>
    <x v="4"/>
    <n v="1"/>
    <x v="299"/>
    <n v="22115000"/>
    <n v="3649000"/>
    <x v="0"/>
  </r>
  <r>
    <s v="ORD-0302"/>
    <x v="205"/>
    <s v="CUST-1156"/>
    <x v="0"/>
    <x v="4"/>
    <x v="0"/>
    <x v="1"/>
    <x v="2"/>
    <n v="1"/>
    <x v="300"/>
    <n v="24072000"/>
    <n v="469000"/>
    <x v="0"/>
  </r>
  <r>
    <s v="ORD-0303"/>
    <x v="194"/>
    <s v="CUST-1128"/>
    <x v="1"/>
    <x v="4"/>
    <x v="0"/>
    <x v="1"/>
    <x v="3"/>
    <n v="2"/>
    <x v="301"/>
    <n v="46376000"/>
    <n v="14278000"/>
    <x v="0"/>
  </r>
  <r>
    <s v="ORD-0304"/>
    <x v="170"/>
    <s v="CUST-1108"/>
    <x v="1"/>
    <x v="7"/>
    <x v="1"/>
    <x v="3"/>
    <x v="0"/>
    <n v="1"/>
    <x v="302"/>
    <n v="18093000"/>
    <n v="3492000"/>
    <x v="0"/>
  </r>
  <r>
    <s v="ORD-0305"/>
    <x v="206"/>
    <s v="CUST-1056"/>
    <x v="1"/>
    <x v="0"/>
    <x v="0"/>
    <x v="0"/>
    <x v="3"/>
    <n v="3"/>
    <x v="303"/>
    <n v="43880000"/>
    <n v="7392000"/>
    <x v="0"/>
  </r>
  <r>
    <s v="ORD-0306"/>
    <x v="112"/>
    <s v="CUST-1138"/>
    <x v="0"/>
    <x v="1"/>
    <x v="1"/>
    <x v="1"/>
    <x v="0"/>
    <n v="1"/>
    <x v="304"/>
    <n v="44378000"/>
    <n v="7310000"/>
    <x v="0"/>
  </r>
  <r>
    <s v="ORD-0307"/>
    <x v="13"/>
    <s v="CUST-1101"/>
    <x v="1"/>
    <x v="4"/>
    <x v="0"/>
    <x v="1"/>
    <x v="4"/>
    <n v="1"/>
    <x v="305"/>
    <n v="23915000"/>
    <n v="3628000"/>
    <x v="0"/>
  </r>
  <r>
    <s v="ORD-0308"/>
    <x v="207"/>
    <s v="CUST-1023"/>
    <x v="1"/>
    <x v="6"/>
    <x v="2"/>
    <x v="4"/>
    <x v="3"/>
    <n v="1"/>
    <x v="306"/>
    <n v="52250000"/>
    <n v="-485000"/>
    <x v="0"/>
  </r>
  <r>
    <s v="ORD-0309"/>
    <x v="97"/>
    <s v="CUST-1036"/>
    <x v="1"/>
    <x v="5"/>
    <x v="1"/>
    <x v="0"/>
    <x v="2"/>
    <n v="1"/>
    <x v="307"/>
    <n v="34349000"/>
    <n v="9750000"/>
    <x v="0"/>
  </r>
  <r>
    <s v="ORD-0310"/>
    <x v="208"/>
    <s v="CUST-1200"/>
    <x v="1"/>
    <x v="7"/>
    <x v="1"/>
    <x v="3"/>
    <x v="4"/>
    <n v="1"/>
    <x v="308"/>
    <n v="17691000"/>
    <n v="5050000"/>
    <x v="0"/>
  </r>
  <r>
    <s v="ORD-0311"/>
    <x v="175"/>
    <s v="CUST-1148"/>
    <x v="1"/>
    <x v="2"/>
    <x v="1"/>
    <x v="0"/>
    <x v="1"/>
    <n v="1"/>
    <x v="309"/>
    <n v="18936000"/>
    <n v="4473000"/>
    <x v="0"/>
  </r>
  <r>
    <s v="ORD-0312"/>
    <x v="209"/>
    <s v="CUST-1229"/>
    <x v="1"/>
    <x v="1"/>
    <x v="1"/>
    <x v="1"/>
    <x v="4"/>
    <n v="2"/>
    <x v="310"/>
    <n v="84019000"/>
    <n v="15997000"/>
    <x v="0"/>
  </r>
  <r>
    <s v="ORD-0313"/>
    <x v="195"/>
    <s v="CUST-1099"/>
    <x v="1"/>
    <x v="4"/>
    <x v="0"/>
    <x v="2"/>
    <x v="2"/>
    <n v="1"/>
    <x v="311"/>
    <n v="22607000"/>
    <n v="7380000"/>
    <x v="0"/>
  </r>
  <r>
    <s v="ORD-0314"/>
    <x v="32"/>
    <s v="CUST-1185"/>
    <x v="0"/>
    <x v="5"/>
    <x v="1"/>
    <x v="3"/>
    <x v="5"/>
    <n v="1"/>
    <x v="312"/>
    <n v="34867000"/>
    <n v="7897000"/>
    <x v="0"/>
  </r>
  <r>
    <s v="ORD-0315"/>
    <x v="188"/>
    <s v="CUST-1012"/>
    <x v="1"/>
    <x v="5"/>
    <x v="1"/>
    <x v="4"/>
    <x v="3"/>
    <n v="1"/>
    <x v="313"/>
    <n v="34517000"/>
    <n v="6197000"/>
    <x v="0"/>
  </r>
  <r>
    <s v="ORD-0316"/>
    <x v="210"/>
    <s v="CUST-1075"/>
    <x v="0"/>
    <x v="7"/>
    <x v="1"/>
    <x v="1"/>
    <x v="5"/>
    <n v="1"/>
    <x v="314"/>
    <n v="18221000"/>
    <n v="2706000"/>
    <x v="0"/>
  </r>
  <r>
    <s v="ORD-0317"/>
    <x v="211"/>
    <s v="CUST-1140"/>
    <x v="1"/>
    <x v="4"/>
    <x v="0"/>
    <x v="2"/>
    <x v="2"/>
    <n v="3"/>
    <x v="315"/>
    <n v="71520000"/>
    <n v="3478000"/>
    <x v="0"/>
  </r>
  <r>
    <s v="ORD-0318"/>
    <x v="212"/>
    <s v="CUST-1086"/>
    <x v="1"/>
    <x v="7"/>
    <x v="1"/>
    <x v="0"/>
    <x v="4"/>
    <n v="1"/>
    <x v="316"/>
    <n v="18654000"/>
    <n v="3845000"/>
    <x v="0"/>
  </r>
  <r>
    <s v="ORD-0319"/>
    <x v="213"/>
    <s v="CUST-1016"/>
    <x v="0"/>
    <x v="2"/>
    <x v="1"/>
    <x v="2"/>
    <x v="4"/>
    <n v="1"/>
    <x v="317"/>
    <n v="19282000"/>
    <n v="4931000"/>
    <x v="0"/>
  </r>
  <r>
    <s v="ORD-0320"/>
    <x v="214"/>
    <s v="CUST-1250"/>
    <x v="0"/>
    <x v="0"/>
    <x v="0"/>
    <x v="0"/>
    <x v="0"/>
    <n v="2"/>
    <x v="318"/>
    <n v="29582000"/>
    <n v="6690000"/>
    <x v="0"/>
  </r>
  <r>
    <s v="ORD-0321"/>
    <x v="183"/>
    <s v="CUST-1034"/>
    <x v="0"/>
    <x v="1"/>
    <x v="1"/>
    <x v="2"/>
    <x v="5"/>
    <n v="1"/>
    <x v="319"/>
    <n v="41596000"/>
    <n v="11285000"/>
    <x v="0"/>
  </r>
  <r>
    <s v="ORD-0322"/>
    <x v="215"/>
    <s v="CUST-1060"/>
    <x v="0"/>
    <x v="7"/>
    <x v="1"/>
    <x v="0"/>
    <x v="2"/>
    <n v="1"/>
    <x v="320"/>
    <n v="17982000"/>
    <n v="5077000"/>
    <x v="0"/>
  </r>
  <r>
    <s v="ORD-0323"/>
    <x v="81"/>
    <s v="CUST-1138"/>
    <x v="0"/>
    <x v="2"/>
    <x v="1"/>
    <x v="3"/>
    <x v="2"/>
    <n v="1"/>
    <x v="321"/>
    <n v="19733000"/>
    <n v="3340000"/>
    <x v="0"/>
  </r>
  <r>
    <s v="ORD-0324"/>
    <x v="201"/>
    <s v="CUST-1179"/>
    <x v="1"/>
    <x v="4"/>
    <x v="0"/>
    <x v="1"/>
    <x v="3"/>
    <n v="1"/>
    <x v="322"/>
    <n v="23632000"/>
    <n v="3742000"/>
    <x v="0"/>
  </r>
  <r>
    <s v="ORD-0325"/>
    <x v="105"/>
    <s v="CUST-1174"/>
    <x v="1"/>
    <x v="2"/>
    <x v="1"/>
    <x v="3"/>
    <x v="5"/>
    <n v="1"/>
    <x v="323"/>
    <n v="19514000"/>
    <n v="3820000"/>
    <x v="0"/>
  </r>
  <r>
    <s v="ORD-0326"/>
    <x v="216"/>
    <s v="CUST-1206"/>
    <x v="1"/>
    <x v="0"/>
    <x v="0"/>
    <x v="2"/>
    <x v="3"/>
    <n v="1"/>
    <x v="324"/>
    <n v="14137000"/>
    <n v="4534000"/>
    <x v="0"/>
  </r>
  <r>
    <s v="ORD-0327"/>
    <x v="68"/>
    <s v="CUST-1241"/>
    <x v="0"/>
    <x v="0"/>
    <x v="0"/>
    <x v="0"/>
    <x v="0"/>
    <n v="1"/>
    <x v="325"/>
    <n v="14356000"/>
    <n v="3028000"/>
    <x v="0"/>
  </r>
  <r>
    <s v="ORD-0328"/>
    <x v="145"/>
    <s v="CUST-1033"/>
    <x v="0"/>
    <x v="4"/>
    <x v="0"/>
    <x v="0"/>
    <x v="5"/>
    <n v="1"/>
    <x v="326"/>
    <n v="24134000"/>
    <n v="2895000"/>
    <x v="0"/>
  </r>
  <r>
    <s v="ORD-0329"/>
    <x v="131"/>
    <s v="CUST-1008"/>
    <x v="1"/>
    <x v="0"/>
    <x v="0"/>
    <x v="4"/>
    <x v="4"/>
    <n v="1"/>
    <x v="327"/>
    <n v="14966000"/>
    <n v="3297000"/>
    <x v="0"/>
  </r>
  <r>
    <s v="ORD-0330"/>
    <x v="217"/>
    <s v="CUST-1159"/>
    <x v="1"/>
    <x v="0"/>
    <x v="0"/>
    <x v="1"/>
    <x v="2"/>
    <n v="1"/>
    <x v="194"/>
    <n v="15056000"/>
    <n v="2519000"/>
    <x v="0"/>
  </r>
  <r>
    <s v="ORD-0331"/>
    <x v="218"/>
    <s v="CUST-1052"/>
    <x v="1"/>
    <x v="4"/>
    <x v="0"/>
    <x v="1"/>
    <x v="2"/>
    <n v="1"/>
    <x v="328"/>
    <n v="22689000"/>
    <n v="-536000"/>
    <x v="0"/>
  </r>
  <r>
    <s v="ORD-0332"/>
    <x v="156"/>
    <s v="CUST-1201"/>
    <x v="1"/>
    <x v="7"/>
    <x v="1"/>
    <x v="4"/>
    <x v="5"/>
    <n v="1"/>
    <x v="329"/>
    <n v="18690000"/>
    <n v="-835000"/>
    <x v="0"/>
  </r>
  <r>
    <s v="ORD-0333"/>
    <x v="182"/>
    <s v="CUST-1200"/>
    <x v="1"/>
    <x v="1"/>
    <x v="1"/>
    <x v="3"/>
    <x v="3"/>
    <n v="1"/>
    <x v="330"/>
    <n v="42278000"/>
    <n v="8758000"/>
    <x v="0"/>
  </r>
  <r>
    <s v="ORD-0334"/>
    <x v="219"/>
    <s v="CUST-1069"/>
    <x v="0"/>
    <x v="5"/>
    <x v="1"/>
    <x v="1"/>
    <x v="4"/>
    <n v="3"/>
    <x v="331"/>
    <n v="102241000"/>
    <n v="35353000"/>
    <x v="0"/>
  </r>
  <r>
    <s v="ORD-0335"/>
    <x v="220"/>
    <s v="CUST-1217"/>
    <x v="0"/>
    <x v="2"/>
    <x v="1"/>
    <x v="2"/>
    <x v="2"/>
    <n v="1"/>
    <x v="332"/>
    <n v="19579000"/>
    <n v="6047000"/>
    <x v="0"/>
  </r>
  <r>
    <s v="ORD-0336"/>
    <x v="221"/>
    <s v="CUST-1243"/>
    <x v="0"/>
    <x v="5"/>
    <x v="1"/>
    <x v="1"/>
    <x v="0"/>
    <n v="1"/>
    <x v="333"/>
    <n v="33825000"/>
    <n v="11704000"/>
    <x v="0"/>
  </r>
  <r>
    <s v="ORD-0337"/>
    <x v="222"/>
    <s v="CUST-1126"/>
    <x v="1"/>
    <x v="5"/>
    <x v="1"/>
    <x v="0"/>
    <x v="3"/>
    <n v="3"/>
    <x v="334"/>
    <n v="106417000"/>
    <n v="29628000"/>
    <x v="0"/>
  </r>
  <r>
    <s v="ORD-0338"/>
    <x v="220"/>
    <s v="CUST-1034"/>
    <x v="1"/>
    <x v="4"/>
    <x v="0"/>
    <x v="3"/>
    <x v="4"/>
    <n v="1"/>
    <x v="335"/>
    <n v="24170000"/>
    <n v="2623000"/>
    <x v="0"/>
  </r>
  <r>
    <s v="ORD-0339"/>
    <x v="223"/>
    <s v="CUST-1199"/>
    <x v="0"/>
    <x v="7"/>
    <x v="1"/>
    <x v="0"/>
    <x v="0"/>
    <n v="1"/>
    <x v="336"/>
    <n v="18458000"/>
    <n v="2285000"/>
    <x v="0"/>
  </r>
  <r>
    <s v="ORD-0340"/>
    <x v="224"/>
    <s v="CUST-1035"/>
    <x v="1"/>
    <x v="7"/>
    <x v="1"/>
    <x v="2"/>
    <x v="4"/>
    <n v="2"/>
    <x v="337"/>
    <n v="35140000"/>
    <n v="8483000"/>
    <x v="0"/>
  </r>
  <r>
    <s v="ORD-0341"/>
    <x v="113"/>
    <s v="CUST-1238"/>
    <x v="0"/>
    <x v="2"/>
    <x v="1"/>
    <x v="1"/>
    <x v="5"/>
    <n v="1"/>
    <x v="120"/>
    <n v="20728000"/>
    <n v="2376000"/>
    <x v="0"/>
  </r>
  <r>
    <s v="ORD-0342"/>
    <x v="225"/>
    <s v="CUST-1001"/>
    <x v="0"/>
    <x v="6"/>
    <x v="2"/>
    <x v="1"/>
    <x v="1"/>
    <n v="1"/>
    <x v="338"/>
    <n v="49462000"/>
    <n v="13699000"/>
    <x v="0"/>
  </r>
  <r>
    <s v="ORD-0343"/>
    <x v="163"/>
    <s v="CUST-1240"/>
    <x v="1"/>
    <x v="0"/>
    <x v="0"/>
    <x v="4"/>
    <x v="2"/>
    <n v="2"/>
    <x v="339"/>
    <n v="28191000"/>
    <n v="10177000"/>
    <x v="0"/>
  </r>
  <r>
    <s v="ORD-0344"/>
    <x v="17"/>
    <s v="CUST-1182"/>
    <x v="1"/>
    <x v="2"/>
    <x v="1"/>
    <x v="3"/>
    <x v="1"/>
    <n v="3"/>
    <x v="340"/>
    <n v="61689000"/>
    <n v="-11828000"/>
    <x v="0"/>
  </r>
  <r>
    <s v="ORD-0345"/>
    <x v="226"/>
    <s v="CUST-1099"/>
    <x v="1"/>
    <x v="4"/>
    <x v="0"/>
    <x v="4"/>
    <x v="4"/>
    <n v="1"/>
    <x v="341"/>
    <n v="22291000"/>
    <n v="5450000"/>
    <x v="0"/>
  </r>
  <r>
    <s v="ORD-0346"/>
    <x v="227"/>
    <s v="CUST-1123"/>
    <x v="0"/>
    <x v="7"/>
    <x v="1"/>
    <x v="1"/>
    <x v="4"/>
    <n v="1"/>
    <x v="342"/>
    <n v="18384000"/>
    <n v="3379000"/>
    <x v="0"/>
  </r>
  <r>
    <s v="ORD-0347"/>
    <x v="228"/>
    <s v="CUST-1027"/>
    <x v="1"/>
    <x v="4"/>
    <x v="0"/>
    <x v="0"/>
    <x v="5"/>
    <n v="1"/>
    <x v="343"/>
    <n v="22087000"/>
    <n v="4827000"/>
    <x v="0"/>
  </r>
  <r>
    <s v="ORD-0348"/>
    <x v="229"/>
    <s v="CUST-1158"/>
    <x v="1"/>
    <x v="7"/>
    <x v="1"/>
    <x v="4"/>
    <x v="4"/>
    <n v="1"/>
    <x v="344"/>
    <n v="19175000"/>
    <n v="4199000"/>
    <x v="0"/>
  </r>
  <r>
    <s v="ORD-0349"/>
    <x v="230"/>
    <s v="CUST-1250"/>
    <x v="0"/>
    <x v="3"/>
    <x v="0"/>
    <x v="2"/>
    <x v="1"/>
    <n v="1"/>
    <x v="345"/>
    <n v="20827000"/>
    <n v="5579000"/>
    <x v="0"/>
  </r>
  <r>
    <s v="ORD-0350"/>
    <x v="46"/>
    <s v="CUST-1101"/>
    <x v="0"/>
    <x v="5"/>
    <x v="1"/>
    <x v="1"/>
    <x v="0"/>
    <n v="1"/>
    <x v="346"/>
    <n v="34781000"/>
    <n v="9332000"/>
    <x v="0"/>
  </r>
  <r>
    <s v="ORD-0351"/>
    <x v="141"/>
    <s v="CUST-1052"/>
    <x v="1"/>
    <x v="0"/>
    <x v="0"/>
    <x v="0"/>
    <x v="3"/>
    <n v="1"/>
    <x v="347"/>
    <n v="14735000"/>
    <n v="2874000"/>
    <x v="0"/>
  </r>
  <r>
    <s v="ORD-0352"/>
    <x v="231"/>
    <s v="CUST-1126"/>
    <x v="1"/>
    <x v="0"/>
    <x v="0"/>
    <x v="3"/>
    <x v="3"/>
    <n v="1"/>
    <x v="348"/>
    <n v="14222000"/>
    <n v="4672000"/>
    <x v="0"/>
  </r>
  <r>
    <s v="ORD-0353"/>
    <x v="37"/>
    <s v="CUST-1120"/>
    <x v="1"/>
    <x v="5"/>
    <x v="1"/>
    <x v="3"/>
    <x v="2"/>
    <n v="2"/>
    <x v="349"/>
    <n v="70615000"/>
    <n v="-940000"/>
    <x v="0"/>
  </r>
  <r>
    <s v="ORD-0354"/>
    <x v="232"/>
    <s v="CUST-1106"/>
    <x v="1"/>
    <x v="5"/>
    <x v="1"/>
    <x v="1"/>
    <x v="2"/>
    <n v="1"/>
    <x v="350"/>
    <n v="36097000"/>
    <n v="4864000"/>
    <x v="0"/>
  </r>
  <r>
    <s v="ORD-0355"/>
    <x v="233"/>
    <s v="CUST-1147"/>
    <x v="1"/>
    <x v="0"/>
    <x v="0"/>
    <x v="2"/>
    <x v="1"/>
    <n v="1"/>
    <x v="351"/>
    <n v="14771000"/>
    <n v="4409000"/>
    <x v="0"/>
  </r>
  <r>
    <s v="ORD-0356"/>
    <x v="190"/>
    <s v="CUST-1174"/>
    <x v="0"/>
    <x v="0"/>
    <x v="0"/>
    <x v="1"/>
    <x v="2"/>
    <n v="1"/>
    <x v="352"/>
    <n v="15081000"/>
    <n v="-2053000"/>
    <x v="0"/>
  </r>
  <r>
    <s v="ORD-0357"/>
    <x v="65"/>
    <s v="CUST-1011"/>
    <x v="1"/>
    <x v="7"/>
    <x v="1"/>
    <x v="4"/>
    <x v="3"/>
    <n v="2"/>
    <x v="353"/>
    <n v="35546000"/>
    <n v="6770000"/>
    <x v="0"/>
  </r>
  <r>
    <s v="ORD-0358"/>
    <x v="206"/>
    <s v="CUST-1235"/>
    <x v="0"/>
    <x v="3"/>
    <x v="0"/>
    <x v="0"/>
    <x v="3"/>
    <n v="1"/>
    <x v="354"/>
    <n v="21272000"/>
    <n v="6512000"/>
    <x v="0"/>
  </r>
  <r>
    <s v="ORD-0359"/>
    <x v="234"/>
    <s v="CUST-1180"/>
    <x v="0"/>
    <x v="5"/>
    <x v="1"/>
    <x v="1"/>
    <x v="0"/>
    <n v="2"/>
    <x v="355"/>
    <n v="73962000"/>
    <n v="12688000"/>
    <x v="0"/>
  </r>
  <r>
    <s v="ORD-0360"/>
    <x v="235"/>
    <s v="CUST-1026"/>
    <x v="1"/>
    <x v="2"/>
    <x v="1"/>
    <x v="0"/>
    <x v="0"/>
    <n v="1"/>
    <x v="356"/>
    <n v="19964000"/>
    <n v="4364000"/>
    <x v="1"/>
  </r>
  <r>
    <s v="ORD-0361"/>
    <x v="236"/>
    <s v="CUST-1147"/>
    <x v="0"/>
    <x v="2"/>
    <x v="1"/>
    <x v="1"/>
    <x v="1"/>
    <n v="2"/>
    <x v="357"/>
    <n v="38666000"/>
    <n v="11932000"/>
    <x v="0"/>
  </r>
  <r>
    <s v="ORD-0362"/>
    <x v="117"/>
    <s v="CUST-1226"/>
    <x v="1"/>
    <x v="0"/>
    <x v="0"/>
    <x v="3"/>
    <x v="4"/>
    <n v="1"/>
    <x v="358"/>
    <n v="14357000"/>
    <n v="4156000"/>
    <x v="0"/>
  </r>
  <r>
    <s v="ORD-0363"/>
    <x v="221"/>
    <s v="CUST-1080"/>
    <x v="1"/>
    <x v="0"/>
    <x v="0"/>
    <x v="3"/>
    <x v="1"/>
    <n v="1"/>
    <x v="359"/>
    <n v="14265000"/>
    <n v="3527000"/>
    <x v="0"/>
  </r>
  <r>
    <s v="ORD-0364"/>
    <x v="46"/>
    <s v="CUST-1083"/>
    <x v="0"/>
    <x v="6"/>
    <x v="2"/>
    <x v="3"/>
    <x v="4"/>
    <n v="1"/>
    <x v="360"/>
    <n v="51731000"/>
    <n v="7992000"/>
    <x v="0"/>
  </r>
  <r>
    <s v="ORD-0365"/>
    <x v="177"/>
    <s v="CUST-1133"/>
    <x v="1"/>
    <x v="5"/>
    <x v="1"/>
    <x v="3"/>
    <x v="3"/>
    <n v="1"/>
    <x v="361"/>
    <n v="35170000"/>
    <n v="10356000"/>
    <x v="0"/>
  </r>
  <r>
    <s v="ORD-0366"/>
    <x v="151"/>
    <s v="CUST-1146"/>
    <x v="1"/>
    <x v="2"/>
    <x v="1"/>
    <x v="0"/>
    <x v="2"/>
    <n v="1"/>
    <x v="362"/>
    <n v="20355000"/>
    <n v="3464000"/>
    <x v="0"/>
  </r>
  <r>
    <s v="ORD-0367"/>
    <x v="237"/>
    <s v="CUST-1051"/>
    <x v="1"/>
    <x v="7"/>
    <x v="1"/>
    <x v="3"/>
    <x v="5"/>
    <n v="1"/>
    <x v="363"/>
    <n v="17478000"/>
    <n v="3297000"/>
    <x v="0"/>
  </r>
  <r>
    <s v="ORD-0368"/>
    <x v="149"/>
    <s v="CUST-1046"/>
    <x v="0"/>
    <x v="1"/>
    <x v="1"/>
    <x v="4"/>
    <x v="0"/>
    <n v="1"/>
    <x v="364"/>
    <n v="42945000"/>
    <n v="6142000"/>
    <x v="0"/>
  </r>
  <r>
    <s v="ORD-0369"/>
    <x v="144"/>
    <s v="CUST-1099"/>
    <x v="1"/>
    <x v="3"/>
    <x v="0"/>
    <x v="0"/>
    <x v="2"/>
    <n v="2"/>
    <x v="365"/>
    <n v="44423000"/>
    <n v="10557000"/>
    <x v="0"/>
  </r>
  <r>
    <s v="ORD-0370"/>
    <x v="238"/>
    <s v="CUST-1132"/>
    <x v="1"/>
    <x v="2"/>
    <x v="1"/>
    <x v="0"/>
    <x v="4"/>
    <n v="1"/>
    <x v="366"/>
    <n v="19219000"/>
    <n v="4043000"/>
    <x v="0"/>
  </r>
  <r>
    <s v="ORD-0371"/>
    <x v="89"/>
    <s v="CUST-1242"/>
    <x v="1"/>
    <x v="1"/>
    <x v="1"/>
    <x v="3"/>
    <x v="4"/>
    <n v="1"/>
    <x v="367"/>
    <n v="42298000"/>
    <n v="11996000"/>
    <x v="0"/>
  </r>
  <r>
    <s v="ORD-0372"/>
    <x v="239"/>
    <s v="CUST-1174"/>
    <x v="1"/>
    <x v="6"/>
    <x v="2"/>
    <x v="1"/>
    <x v="0"/>
    <n v="1"/>
    <x v="368"/>
    <n v="49248000"/>
    <n v="10857000"/>
    <x v="0"/>
  </r>
  <r>
    <s v="ORD-0373"/>
    <x v="112"/>
    <s v="CUST-1153"/>
    <x v="1"/>
    <x v="5"/>
    <x v="1"/>
    <x v="1"/>
    <x v="5"/>
    <n v="3"/>
    <x v="369"/>
    <n v="110114000"/>
    <n v="27354000"/>
    <x v="0"/>
  </r>
  <r>
    <s v="ORD-0374"/>
    <x v="82"/>
    <s v="CUST-1168"/>
    <x v="1"/>
    <x v="6"/>
    <x v="2"/>
    <x v="3"/>
    <x v="2"/>
    <n v="1"/>
    <x v="370"/>
    <n v="49617000"/>
    <n v="-6754000"/>
    <x v="0"/>
  </r>
  <r>
    <s v="ORD-0375"/>
    <x v="173"/>
    <s v="CUST-1082"/>
    <x v="1"/>
    <x v="1"/>
    <x v="1"/>
    <x v="2"/>
    <x v="4"/>
    <n v="1"/>
    <x v="371"/>
    <n v="44849000"/>
    <n v="9826000"/>
    <x v="0"/>
  </r>
  <r>
    <s v="ORD-0376"/>
    <x v="240"/>
    <s v="CUST-1182"/>
    <x v="0"/>
    <x v="6"/>
    <x v="2"/>
    <x v="1"/>
    <x v="2"/>
    <n v="1"/>
    <x v="372"/>
    <n v="49936000"/>
    <n v="10723000"/>
    <x v="0"/>
  </r>
  <r>
    <s v="ORD-0377"/>
    <x v="241"/>
    <s v="CUST-1130"/>
    <x v="1"/>
    <x v="2"/>
    <x v="1"/>
    <x v="3"/>
    <x v="2"/>
    <n v="1"/>
    <x v="373"/>
    <n v="20605000"/>
    <n v="-2599000"/>
    <x v="0"/>
  </r>
  <r>
    <s v="ORD-0378"/>
    <x v="26"/>
    <s v="CUST-1196"/>
    <x v="1"/>
    <x v="7"/>
    <x v="1"/>
    <x v="2"/>
    <x v="4"/>
    <n v="1"/>
    <x v="374"/>
    <n v="17858000"/>
    <n v="3188000"/>
    <x v="0"/>
  </r>
  <r>
    <s v="ORD-0379"/>
    <x v="242"/>
    <s v="CUST-1096"/>
    <x v="1"/>
    <x v="6"/>
    <x v="2"/>
    <x v="3"/>
    <x v="0"/>
    <n v="1"/>
    <x v="375"/>
    <n v="50098000"/>
    <n v="-3838000"/>
    <x v="0"/>
  </r>
  <r>
    <s v="ORD-0380"/>
    <x v="104"/>
    <s v="CUST-1121"/>
    <x v="1"/>
    <x v="1"/>
    <x v="1"/>
    <x v="2"/>
    <x v="0"/>
    <n v="1"/>
    <x v="376"/>
    <n v="43849000"/>
    <n v="9320000"/>
    <x v="0"/>
  </r>
  <r>
    <s v="ORD-0381"/>
    <x v="65"/>
    <s v="CUST-1052"/>
    <x v="1"/>
    <x v="7"/>
    <x v="1"/>
    <x v="3"/>
    <x v="1"/>
    <n v="1"/>
    <x v="377"/>
    <n v="18948000"/>
    <n v="1887000"/>
    <x v="0"/>
  </r>
  <r>
    <s v="ORD-0382"/>
    <x v="41"/>
    <s v="CUST-1086"/>
    <x v="0"/>
    <x v="7"/>
    <x v="1"/>
    <x v="2"/>
    <x v="5"/>
    <n v="1"/>
    <x v="378"/>
    <n v="17715000"/>
    <n v="5431000"/>
    <x v="0"/>
  </r>
  <r>
    <s v="ORD-0383"/>
    <x v="185"/>
    <s v="CUST-1202"/>
    <x v="1"/>
    <x v="0"/>
    <x v="0"/>
    <x v="0"/>
    <x v="2"/>
    <n v="1"/>
    <x v="379"/>
    <n v="14611000"/>
    <n v="748000"/>
    <x v="0"/>
  </r>
  <r>
    <s v="ORD-0384"/>
    <x v="165"/>
    <s v="CUST-1188"/>
    <x v="1"/>
    <x v="3"/>
    <x v="0"/>
    <x v="3"/>
    <x v="3"/>
    <n v="1"/>
    <x v="380"/>
    <n v="20720000"/>
    <n v="1055000"/>
    <x v="0"/>
  </r>
  <r>
    <s v="ORD-0385"/>
    <x v="243"/>
    <s v="CUST-1225"/>
    <x v="1"/>
    <x v="2"/>
    <x v="1"/>
    <x v="3"/>
    <x v="5"/>
    <n v="1"/>
    <x v="381"/>
    <n v="20263000"/>
    <n v="-4011000"/>
    <x v="0"/>
  </r>
  <r>
    <s v="ORD-0386"/>
    <x v="244"/>
    <s v="CUST-1117"/>
    <x v="1"/>
    <x v="0"/>
    <x v="0"/>
    <x v="1"/>
    <x v="0"/>
    <n v="1"/>
    <x v="382"/>
    <n v="13841000"/>
    <n v="3232000"/>
    <x v="1"/>
  </r>
  <r>
    <s v="ORD-0387"/>
    <x v="181"/>
    <s v="CUST-1049"/>
    <x v="0"/>
    <x v="3"/>
    <x v="0"/>
    <x v="2"/>
    <x v="1"/>
    <n v="3"/>
    <x v="383"/>
    <n v="68025000"/>
    <n v="10247000"/>
    <x v="0"/>
  </r>
  <r>
    <s v="ORD-0388"/>
    <x v="130"/>
    <s v="CUST-1094"/>
    <x v="0"/>
    <x v="4"/>
    <x v="0"/>
    <x v="0"/>
    <x v="1"/>
    <n v="1"/>
    <x v="384"/>
    <n v="23408000"/>
    <n v="6102000"/>
    <x v="0"/>
  </r>
  <r>
    <s v="ORD-0389"/>
    <x v="0"/>
    <s v="CUST-1006"/>
    <x v="1"/>
    <x v="4"/>
    <x v="0"/>
    <x v="0"/>
    <x v="4"/>
    <n v="1"/>
    <x v="385"/>
    <n v="23576000"/>
    <n v="1414000"/>
    <x v="0"/>
  </r>
  <r>
    <s v="ORD-0390"/>
    <x v="195"/>
    <s v="CUST-1162"/>
    <x v="1"/>
    <x v="3"/>
    <x v="0"/>
    <x v="0"/>
    <x v="5"/>
    <n v="1"/>
    <x v="386"/>
    <n v="21044000"/>
    <n v="5500000"/>
    <x v="0"/>
  </r>
  <r>
    <s v="ORD-0391"/>
    <x v="245"/>
    <s v="CUST-1027"/>
    <x v="0"/>
    <x v="6"/>
    <x v="2"/>
    <x v="1"/>
    <x v="4"/>
    <n v="1"/>
    <x v="387"/>
    <n v="48668000"/>
    <n v="13475000"/>
    <x v="0"/>
  </r>
  <r>
    <s v="ORD-0392"/>
    <x v="246"/>
    <s v="CUST-1134"/>
    <x v="1"/>
    <x v="0"/>
    <x v="0"/>
    <x v="2"/>
    <x v="5"/>
    <n v="1"/>
    <x v="388"/>
    <n v="14065000"/>
    <n v="191000"/>
    <x v="0"/>
  </r>
  <r>
    <s v="ORD-0393"/>
    <x v="166"/>
    <s v="CUST-1061"/>
    <x v="1"/>
    <x v="3"/>
    <x v="0"/>
    <x v="0"/>
    <x v="3"/>
    <n v="1"/>
    <x v="389"/>
    <n v="22210000"/>
    <n v="5836000"/>
    <x v="0"/>
  </r>
  <r>
    <s v="ORD-0394"/>
    <x v="139"/>
    <s v="CUST-1020"/>
    <x v="1"/>
    <x v="0"/>
    <x v="0"/>
    <x v="0"/>
    <x v="5"/>
    <n v="1"/>
    <x v="390"/>
    <n v="15152000"/>
    <n v="2924000"/>
    <x v="0"/>
  </r>
  <r>
    <s v="ORD-0395"/>
    <x v="9"/>
    <s v="CUST-1011"/>
    <x v="0"/>
    <x v="4"/>
    <x v="0"/>
    <x v="3"/>
    <x v="5"/>
    <n v="1"/>
    <x v="391"/>
    <n v="22272000"/>
    <n v="1106000"/>
    <x v="0"/>
  </r>
  <r>
    <s v="ORD-0396"/>
    <x v="59"/>
    <s v="CUST-1170"/>
    <x v="0"/>
    <x v="3"/>
    <x v="0"/>
    <x v="2"/>
    <x v="5"/>
    <n v="1"/>
    <x v="392"/>
    <n v="20810000"/>
    <n v="6712000"/>
    <x v="0"/>
  </r>
  <r>
    <s v="ORD-0397"/>
    <x v="102"/>
    <s v="CUST-1030"/>
    <x v="0"/>
    <x v="7"/>
    <x v="1"/>
    <x v="4"/>
    <x v="1"/>
    <n v="1"/>
    <x v="393"/>
    <n v="18067000"/>
    <n v="4710000"/>
    <x v="0"/>
  </r>
  <r>
    <s v="ORD-0398"/>
    <x v="209"/>
    <s v="CUST-1029"/>
    <x v="1"/>
    <x v="4"/>
    <x v="0"/>
    <x v="2"/>
    <x v="4"/>
    <n v="2"/>
    <x v="394"/>
    <n v="47091000"/>
    <n v="12416000"/>
    <x v="0"/>
  </r>
  <r>
    <s v="ORD-0399"/>
    <x v="247"/>
    <s v="CUST-1113"/>
    <x v="0"/>
    <x v="7"/>
    <x v="1"/>
    <x v="2"/>
    <x v="0"/>
    <n v="1"/>
    <x v="395"/>
    <n v="18268000"/>
    <n v="5018000"/>
    <x v="0"/>
  </r>
  <r>
    <s v="ORD-0400"/>
    <x v="186"/>
    <s v="CUST-1124"/>
    <x v="0"/>
    <x v="2"/>
    <x v="1"/>
    <x v="4"/>
    <x v="3"/>
    <n v="2"/>
    <x v="396"/>
    <n v="40500000"/>
    <n v="10111000"/>
    <x v="0"/>
  </r>
  <r>
    <s v="ORD-0401"/>
    <x v="87"/>
    <s v="CUST-1191"/>
    <x v="1"/>
    <x v="3"/>
    <x v="0"/>
    <x v="1"/>
    <x v="4"/>
    <n v="1"/>
    <x v="397"/>
    <n v="22603000"/>
    <n v="2350000"/>
    <x v="0"/>
  </r>
  <r>
    <s v="ORD-0402"/>
    <x v="182"/>
    <s v="CUST-1111"/>
    <x v="0"/>
    <x v="4"/>
    <x v="0"/>
    <x v="2"/>
    <x v="1"/>
    <n v="2"/>
    <x v="398"/>
    <n v="47273000"/>
    <n v="10154000"/>
    <x v="0"/>
  </r>
  <r>
    <s v="ORD-0403"/>
    <x v="142"/>
    <s v="CUST-1003"/>
    <x v="0"/>
    <x v="6"/>
    <x v="2"/>
    <x v="2"/>
    <x v="0"/>
    <n v="1"/>
    <x v="399"/>
    <n v="52480000"/>
    <n v="-6477000"/>
    <x v="0"/>
  </r>
  <r>
    <s v="ORD-0404"/>
    <x v="133"/>
    <s v="CUST-1013"/>
    <x v="0"/>
    <x v="7"/>
    <x v="1"/>
    <x v="1"/>
    <x v="2"/>
    <n v="1"/>
    <x v="400"/>
    <n v="17826000"/>
    <n v="4260000"/>
    <x v="1"/>
  </r>
  <r>
    <s v="ORD-0405"/>
    <x v="191"/>
    <s v="CUST-1220"/>
    <x v="1"/>
    <x v="6"/>
    <x v="2"/>
    <x v="4"/>
    <x v="1"/>
    <n v="1"/>
    <x v="401"/>
    <n v="52021000"/>
    <n v="8960000"/>
    <x v="0"/>
  </r>
  <r>
    <s v="ORD-0406"/>
    <x v="248"/>
    <s v="CUST-1001"/>
    <x v="1"/>
    <x v="0"/>
    <x v="0"/>
    <x v="0"/>
    <x v="0"/>
    <n v="1"/>
    <x v="402"/>
    <n v="14373000"/>
    <n v="-2018000"/>
    <x v="0"/>
  </r>
  <r>
    <s v="ORD-0407"/>
    <x v="246"/>
    <s v="CUST-1212"/>
    <x v="0"/>
    <x v="6"/>
    <x v="2"/>
    <x v="0"/>
    <x v="2"/>
    <n v="1"/>
    <x v="403"/>
    <n v="50279000"/>
    <n v="996000"/>
    <x v="0"/>
  </r>
  <r>
    <s v="ORD-0408"/>
    <x v="97"/>
    <s v="CUST-1025"/>
    <x v="0"/>
    <x v="3"/>
    <x v="0"/>
    <x v="2"/>
    <x v="3"/>
    <n v="1"/>
    <x v="404"/>
    <n v="21502000"/>
    <n v="5877000"/>
    <x v="0"/>
  </r>
  <r>
    <s v="ORD-0409"/>
    <x v="249"/>
    <s v="CUST-1230"/>
    <x v="0"/>
    <x v="3"/>
    <x v="0"/>
    <x v="2"/>
    <x v="1"/>
    <n v="1"/>
    <x v="405"/>
    <n v="21525000"/>
    <n v="-2231000"/>
    <x v="0"/>
  </r>
  <r>
    <s v="ORD-0410"/>
    <x v="20"/>
    <s v="CUST-1219"/>
    <x v="0"/>
    <x v="2"/>
    <x v="1"/>
    <x v="4"/>
    <x v="2"/>
    <n v="1"/>
    <x v="406"/>
    <n v="19198000"/>
    <n v="4155000"/>
    <x v="0"/>
  </r>
  <r>
    <s v="ORD-0411"/>
    <x v="103"/>
    <s v="CUST-1173"/>
    <x v="1"/>
    <x v="2"/>
    <x v="1"/>
    <x v="1"/>
    <x v="3"/>
    <n v="1"/>
    <x v="407"/>
    <n v="18902000"/>
    <n v="6020000"/>
    <x v="0"/>
  </r>
  <r>
    <s v="ORD-0412"/>
    <x v="127"/>
    <s v="CUST-1142"/>
    <x v="1"/>
    <x v="1"/>
    <x v="1"/>
    <x v="4"/>
    <x v="0"/>
    <n v="1"/>
    <x v="408"/>
    <n v="41344000"/>
    <n v="14052000"/>
    <x v="0"/>
  </r>
  <r>
    <s v="ORD-0413"/>
    <x v="250"/>
    <s v="CUST-1027"/>
    <x v="0"/>
    <x v="7"/>
    <x v="1"/>
    <x v="4"/>
    <x v="4"/>
    <n v="2"/>
    <x v="409"/>
    <n v="35406000"/>
    <n v="9911000"/>
    <x v="0"/>
  </r>
  <r>
    <s v="ORD-0414"/>
    <x v="251"/>
    <s v="CUST-1064"/>
    <x v="1"/>
    <x v="5"/>
    <x v="1"/>
    <x v="3"/>
    <x v="1"/>
    <n v="2"/>
    <x v="410"/>
    <n v="71774000"/>
    <n v="-1647000"/>
    <x v="0"/>
  </r>
  <r>
    <s v="ORD-0415"/>
    <x v="241"/>
    <s v="CUST-1077"/>
    <x v="1"/>
    <x v="7"/>
    <x v="1"/>
    <x v="1"/>
    <x v="5"/>
    <n v="1"/>
    <x v="411"/>
    <n v="18666000"/>
    <n v="-2926000"/>
    <x v="0"/>
  </r>
  <r>
    <s v="ORD-0416"/>
    <x v="252"/>
    <s v="CUST-1236"/>
    <x v="1"/>
    <x v="2"/>
    <x v="1"/>
    <x v="2"/>
    <x v="4"/>
    <n v="1"/>
    <x v="412"/>
    <n v="20224000"/>
    <n v="2990000"/>
    <x v="0"/>
  </r>
  <r>
    <s v="ORD-0417"/>
    <x v="207"/>
    <s v="CUST-1144"/>
    <x v="1"/>
    <x v="7"/>
    <x v="1"/>
    <x v="4"/>
    <x v="0"/>
    <n v="1"/>
    <x v="413"/>
    <n v="18685000"/>
    <n v="-234000"/>
    <x v="0"/>
  </r>
  <r>
    <s v="ORD-0418"/>
    <x v="238"/>
    <s v="CUST-1109"/>
    <x v="0"/>
    <x v="7"/>
    <x v="1"/>
    <x v="0"/>
    <x v="0"/>
    <n v="1"/>
    <x v="414"/>
    <n v="18362000"/>
    <n v="4874000"/>
    <x v="0"/>
  </r>
  <r>
    <s v="ORD-0419"/>
    <x v="162"/>
    <s v="CUST-1074"/>
    <x v="1"/>
    <x v="0"/>
    <x v="0"/>
    <x v="3"/>
    <x v="2"/>
    <n v="1"/>
    <x v="415"/>
    <n v="14863000"/>
    <n v="2525000"/>
    <x v="0"/>
  </r>
  <r>
    <s v="ORD-0420"/>
    <x v="253"/>
    <s v="CUST-1223"/>
    <x v="1"/>
    <x v="2"/>
    <x v="1"/>
    <x v="1"/>
    <x v="2"/>
    <n v="1"/>
    <x v="416"/>
    <n v="20422000"/>
    <n v="2239000"/>
    <x v="0"/>
  </r>
  <r>
    <s v="ORD-0421"/>
    <x v="218"/>
    <s v="CUST-1238"/>
    <x v="1"/>
    <x v="5"/>
    <x v="1"/>
    <x v="4"/>
    <x v="1"/>
    <n v="1"/>
    <x v="417"/>
    <n v="34746000"/>
    <n v="2060000"/>
    <x v="0"/>
  </r>
  <r>
    <s v="ORD-0422"/>
    <x v="177"/>
    <s v="CUST-1159"/>
    <x v="0"/>
    <x v="7"/>
    <x v="1"/>
    <x v="4"/>
    <x v="2"/>
    <n v="1"/>
    <x v="418"/>
    <n v="17409000"/>
    <n v="4850000"/>
    <x v="0"/>
  </r>
  <r>
    <s v="ORD-0423"/>
    <x v="185"/>
    <s v="CUST-1247"/>
    <x v="0"/>
    <x v="2"/>
    <x v="1"/>
    <x v="2"/>
    <x v="5"/>
    <n v="1"/>
    <x v="419"/>
    <n v="20005000"/>
    <n v="-107000"/>
    <x v="0"/>
  </r>
  <r>
    <s v="ORD-0424"/>
    <x v="254"/>
    <s v="CUST-1110"/>
    <x v="0"/>
    <x v="0"/>
    <x v="0"/>
    <x v="3"/>
    <x v="0"/>
    <n v="1"/>
    <x v="420"/>
    <n v="14520000"/>
    <n v="2807000"/>
    <x v="0"/>
  </r>
  <r>
    <s v="ORD-0425"/>
    <x v="30"/>
    <s v="CUST-1040"/>
    <x v="0"/>
    <x v="0"/>
    <x v="0"/>
    <x v="3"/>
    <x v="0"/>
    <n v="1"/>
    <x v="421"/>
    <n v="14804000"/>
    <n v="2890000"/>
    <x v="0"/>
  </r>
  <r>
    <s v="ORD-0426"/>
    <x v="108"/>
    <s v="CUST-1019"/>
    <x v="0"/>
    <x v="2"/>
    <x v="1"/>
    <x v="3"/>
    <x v="0"/>
    <n v="2"/>
    <x v="422"/>
    <n v="40748000"/>
    <n v="6251000"/>
    <x v="0"/>
  </r>
  <r>
    <s v="ORD-0427"/>
    <x v="2"/>
    <s v="CUST-1090"/>
    <x v="1"/>
    <x v="7"/>
    <x v="1"/>
    <x v="2"/>
    <x v="2"/>
    <n v="1"/>
    <x v="423"/>
    <n v="18379000"/>
    <n v="2757000"/>
    <x v="0"/>
  </r>
  <r>
    <s v="ORD-0428"/>
    <x v="43"/>
    <s v="CUST-1211"/>
    <x v="1"/>
    <x v="3"/>
    <x v="0"/>
    <x v="0"/>
    <x v="3"/>
    <n v="1"/>
    <x v="424"/>
    <n v="21866000"/>
    <n v="5637000"/>
    <x v="1"/>
  </r>
  <r>
    <s v="ORD-0429"/>
    <x v="53"/>
    <s v="CUST-1227"/>
    <x v="1"/>
    <x v="3"/>
    <x v="0"/>
    <x v="3"/>
    <x v="1"/>
    <n v="1"/>
    <x v="425"/>
    <n v="21242000"/>
    <n v="6833000"/>
    <x v="0"/>
  </r>
  <r>
    <s v="ORD-0430"/>
    <x v="11"/>
    <s v="CUST-1206"/>
    <x v="1"/>
    <x v="3"/>
    <x v="0"/>
    <x v="1"/>
    <x v="1"/>
    <n v="1"/>
    <x v="426"/>
    <n v="22502000"/>
    <n v="5548000"/>
    <x v="0"/>
  </r>
  <r>
    <s v="ORD-0431"/>
    <x v="202"/>
    <s v="CUST-1245"/>
    <x v="0"/>
    <x v="0"/>
    <x v="0"/>
    <x v="1"/>
    <x v="0"/>
    <n v="1"/>
    <x v="427"/>
    <n v="15150000"/>
    <n v="2973000"/>
    <x v="0"/>
  </r>
  <r>
    <s v="ORD-0432"/>
    <x v="212"/>
    <s v="CUST-1053"/>
    <x v="1"/>
    <x v="5"/>
    <x v="1"/>
    <x v="1"/>
    <x v="4"/>
    <n v="1"/>
    <x v="428"/>
    <n v="36158000"/>
    <n v="5454000"/>
    <x v="0"/>
  </r>
  <r>
    <s v="ORD-0433"/>
    <x v="255"/>
    <s v="CUST-1023"/>
    <x v="0"/>
    <x v="6"/>
    <x v="2"/>
    <x v="0"/>
    <x v="3"/>
    <n v="1"/>
    <x v="429"/>
    <n v="50294000"/>
    <n v="8265000"/>
    <x v="0"/>
  </r>
  <r>
    <s v="ORD-0434"/>
    <x v="256"/>
    <s v="CUST-1162"/>
    <x v="0"/>
    <x v="2"/>
    <x v="1"/>
    <x v="4"/>
    <x v="1"/>
    <n v="1"/>
    <x v="430"/>
    <n v="19322000"/>
    <n v="3948000"/>
    <x v="0"/>
  </r>
  <r>
    <s v="ORD-0435"/>
    <x v="248"/>
    <s v="CUST-1150"/>
    <x v="0"/>
    <x v="0"/>
    <x v="0"/>
    <x v="0"/>
    <x v="4"/>
    <n v="1"/>
    <x v="431"/>
    <n v="14672000"/>
    <n v="-1409000"/>
    <x v="0"/>
  </r>
  <r>
    <s v="ORD-0436"/>
    <x v="88"/>
    <s v="CUST-1238"/>
    <x v="1"/>
    <x v="3"/>
    <x v="0"/>
    <x v="4"/>
    <x v="1"/>
    <n v="1"/>
    <x v="432"/>
    <n v="22032000"/>
    <n v="5241000"/>
    <x v="0"/>
  </r>
  <r>
    <s v="ORD-0437"/>
    <x v="189"/>
    <s v="CUST-1218"/>
    <x v="1"/>
    <x v="2"/>
    <x v="1"/>
    <x v="1"/>
    <x v="5"/>
    <n v="1"/>
    <x v="433"/>
    <n v="20289000"/>
    <n v="2957000"/>
    <x v="0"/>
  </r>
  <r>
    <s v="ORD-0438"/>
    <x v="185"/>
    <s v="CUST-1244"/>
    <x v="0"/>
    <x v="0"/>
    <x v="0"/>
    <x v="0"/>
    <x v="0"/>
    <n v="2"/>
    <x v="434"/>
    <n v="29665000"/>
    <n v="1135000"/>
    <x v="0"/>
  </r>
  <r>
    <s v="ORD-0439"/>
    <x v="23"/>
    <s v="CUST-1054"/>
    <x v="1"/>
    <x v="0"/>
    <x v="0"/>
    <x v="3"/>
    <x v="2"/>
    <n v="1"/>
    <x v="435"/>
    <n v="14569000"/>
    <n v="3273000"/>
    <x v="0"/>
  </r>
  <r>
    <s v="ORD-0440"/>
    <x v="179"/>
    <s v="CUST-1030"/>
    <x v="0"/>
    <x v="7"/>
    <x v="1"/>
    <x v="2"/>
    <x v="4"/>
    <n v="1"/>
    <x v="436"/>
    <n v="18514000"/>
    <n v="2692000"/>
    <x v="0"/>
  </r>
  <r>
    <s v="ORD-0441"/>
    <x v="163"/>
    <s v="CUST-1075"/>
    <x v="0"/>
    <x v="7"/>
    <x v="1"/>
    <x v="0"/>
    <x v="5"/>
    <n v="2"/>
    <x v="437"/>
    <n v="36458000"/>
    <n v="10589000"/>
    <x v="0"/>
  </r>
  <r>
    <s v="ORD-0442"/>
    <x v="98"/>
    <s v="CUST-1073"/>
    <x v="0"/>
    <x v="4"/>
    <x v="0"/>
    <x v="1"/>
    <x v="3"/>
    <n v="2"/>
    <x v="438"/>
    <n v="47195000"/>
    <n v="9031000"/>
    <x v="0"/>
  </r>
  <r>
    <s v="ORD-0443"/>
    <x v="257"/>
    <s v="CUST-1094"/>
    <x v="1"/>
    <x v="3"/>
    <x v="0"/>
    <x v="3"/>
    <x v="1"/>
    <n v="1"/>
    <x v="439"/>
    <n v="21983000"/>
    <n v="3980000"/>
    <x v="0"/>
  </r>
  <r>
    <s v="ORD-0444"/>
    <x v="114"/>
    <s v="CUST-1035"/>
    <x v="1"/>
    <x v="0"/>
    <x v="0"/>
    <x v="3"/>
    <x v="1"/>
    <n v="1"/>
    <x v="440"/>
    <n v="14407000"/>
    <n v="4244000"/>
    <x v="0"/>
  </r>
  <r>
    <s v="ORD-0445"/>
    <x v="7"/>
    <s v="CUST-1072"/>
    <x v="0"/>
    <x v="3"/>
    <x v="0"/>
    <x v="2"/>
    <x v="0"/>
    <n v="1"/>
    <x v="441"/>
    <n v="22117000"/>
    <n v="3168000"/>
    <x v="0"/>
  </r>
  <r>
    <s v="ORD-0446"/>
    <x v="258"/>
    <s v="CUST-1008"/>
    <x v="0"/>
    <x v="4"/>
    <x v="0"/>
    <x v="1"/>
    <x v="0"/>
    <n v="1"/>
    <x v="442"/>
    <n v="22083000"/>
    <n v="4986000"/>
    <x v="0"/>
  </r>
  <r>
    <s v="ORD-0447"/>
    <x v="164"/>
    <s v="CUST-1168"/>
    <x v="1"/>
    <x v="2"/>
    <x v="1"/>
    <x v="2"/>
    <x v="5"/>
    <n v="1"/>
    <x v="443"/>
    <n v="20580000"/>
    <n v="2793000"/>
    <x v="0"/>
  </r>
  <r>
    <s v="ORD-0448"/>
    <x v="194"/>
    <s v="CUST-1102"/>
    <x v="0"/>
    <x v="4"/>
    <x v="0"/>
    <x v="3"/>
    <x v="0"/>
    <n v="1"/>
    <x v="444"/>
    <n v="23118000"/>
    <n v="4750000"/>
    <x v="0"/>
  </r>
  <r>
    <s v="ORD-0449"/>
    <x v="226"/>
    <s v="CUST-1115"/>
    <x v="0"/>
    <x v="6"/>
    <x v="2"/>
    <x v="2"/>
    <x v="2"/>
    <n v="1"/>
    <x v="445"/>
    <n v="48813000"/>
    <n v="13396000"/>
    <x v="0"/>
  </r>
  <r>
    <s v="ORD-0450"/>
    <x v="182"/>
    <s v="CUST-1057"/>
    <x v="0"/>
    <x v="7"/>
    <x v="1"/>
    <x v="4"/>
    <x v="2"/>
    <n v="2"/>
    <x v="446"/>
    <n v="36540000"/>
    <n v="9029000"/>
    <x v="0"/>
  </r>
  <r>
    <s v="ORD-0451"/>
    <x v="16"/>
    <s v="CUST-1235"/>
    <x v="1"/>
    <x v="4"/>
    <x v="0"/>
    <x v="4"/>
    <x v="3"/>
    <n v="1"/>
    <x v="447"/>
    <n v="23876000"/>
    <n v="4833000"/>
    <x v="0"/>
  </r>
  <r>
    <s v="ORD-0452"/>
    <x v="259"/>
    <s v="CUST-1068"/>
    <x v="1"/>
    <x v="7"/>
    <x v="1"/>
    <x v="1"/>
    <x v="0"/>
    <n v="1"/>
    <x v="448"/>
    <n v="18903000"/>
    <n v="3268000"/>
    <x v="0"/>
  </r>
  <r>
    <s v="ORD-0453"/>
    <x v="41"/>
    <s v="CUST-1097"/>
    <x v="0"/>
    <x v="0"/>
    <x v="0"/>
    <x v="2"/>
    <x v="0"/>
    <n v="1"/>
    <x v="449"/>
    <n v="14986000"/>
    <n v="3463000"/>
    <x v="0"/>
  </r>
  <r>
    <s v="ORD-0454"/>
    <x v="164"/>
    <s v="CUST-1036"/>
    <x v="0"/>
    <x v="3"/>
    <x v="0"/>
    <x v="4"/>
    <x v="2"/>
    <n v="1"/>
    <x v="450"/>
    <n v="22027000"/>
    <n v="4544000"/>
    <x v="0"/>
  </r>
  <r>
    <s v="ORD-0455"/>
    <x v="260"/>
    <s v="CUST-1031"/>
    <x v="0"/>
    <x v="0"/>
    <x v="0"/>
    <x v="2"/>
    <x v="1"/>
    <n v="1"/>
    <x v="451"/>
    <n v="14300000"/>
    <n v="3057000"/>
    <x v="0"/>
  </r>
  <r>
    <s v="ORD-0456"/>
    <x v="17"/>
    <s v="CUST-1006"/>
    <x v="1"/>
    <x v="2"/>
    <x v="1"/>
    <x v="2"/>
    <x v="3"/>
    <n v="1"/>
    <x v="452"/>
    <n v="19129000"/>
    <n v="-2412000"/>
    <x v="0"/>
  </r>
  <r>
    <s v="ORD-0457"/>
    <x v="261"/>
    <s v="CUST-1067"/>
    <x v="1"/>
    <x v="5"/>
    <x v="1"/>
    <x v="2"/>
    <x v="0"/>
    <n v="1"/>
    <x v="453"/>
    <n v="35757000"/>
    <n v="4882000"/>
    <x v="0"/>
  </r>
  <r>
    <s v="ORD-0458"/>
    <x v="164"/>
    <s v="CUST-1022"/>
    <x v="0"/>
    <x v="5"/>
    <x v="1"/>
    <x v="2"/>
    <x v="1"/>
    <n v="1"/>
    <x v="454"/>
    <n v="36074000"/>
    <n v="8368000"/>
    <x v="0"/>
  </r>
  <r>
    <s v="ORD-0459"/>
    <x v="58"/>
    <s v="CUST-1211"/>
    <x v="0"/>
    <x v="7"/>
    <x v="1"/>
    <x v="2"/>
    <x v="0"/>
    <n v="1"/>
    <x v="455"/>
    <n v="18485000"/>
    <n v="420000"/>
    <x v="0"/>
  </r>
  <r>
    <s v="ORD-0460"/>
    <x v="147"/>
    <s v="CUST-1097"/>
    <x v="1"/>
    <x v="1"/>
    <x v="1"/>
    <x v="4"/>
    <x v="2"/>
    <n v="1"/>
    <x v="456"/>
    <n v="43920000"/>
    <n v="11195000"/>
    <x v="0"/>
  </r>
  <r>
    <s v="ORD-0461"/>
    <x v="262"/>
    <s v="CUST-1046"/>
    <x v="1"/>
    <x v="0"/>
    <x v="0"/>
    <x v="4"/>
    <x v="0"/>
    <n v="2"/>
    <x v="457"/>
    <n v="29947000"/>
    <n v="7096000"/>
    <x v="0"/>
  </r>
  <r>
    <s v="ORD-0462"/>
    <x v="251"/>
    <s v="CUST-1155"/>
    <x v="0"/>
    <x v="0"/>
    <x v="0"/>
    <x v="1"/>
    <x v="3"/>
    <n v="1"/>
    <x v="458"/>
    <n v="14474000"/>
    <n v="-374000"/>
    <x v="0"/>
  </r>
  <r>
    <s v="ORD-0463"/>
    <x v="121"/>
    <s v="CUST-1206"/>
    <x v="1"/>
    <x v="6"/>
    <x v="2"/>
    <x v="4"/>
    <x v="1"/>
    <n v="1"/>
    <x v="459"/>
    <n v="50651000"/>
    <n v="7033000"/>
    <x v="0"/>
  </r>
  <r>
    <s v="ORD-0464"/>
    <x v="109"/>
    <s v="CUST-1123"/>
    <x v="0"/>
    <x v="5"/>
    <x v="1"/>
    <x v="2"/>
    <x v="3"/>
    <n v="1"/>
    <x v="460"/>
    <n v="34072000"/>
    <n v="-2165000"/>
    <x v="0"/>
  </r>
  <r>
    <s v="ORD-0465"/>
    <x v="263"/>
    <s v="CUST-1134"/>
    <x v="1"/>
    <x v="5"/>
    <x v="1"/>
    <x v="0"/>
    <x v="0"/>
    <n v="1"/>
    <x v="461"/>
    <n v="36365000"/>
    <n v="4086000"/>
    <x v="0"/>
  </r>
  <r>
    <s v="ORD-0466"/>
    <x v="212"/>
    <s v="CUST-1150"/>
    <x v="1"/>
    <x v="3"/>
    <x v="0"/>
    <x v="3"/>
    <x v="5"/>
    <n v="1"/>
    <x v="462"/>
    <n v="20942000"/>
    <n v="5376000"/>
    <x v="0"/>
  </r>
  <r>
    <s v="ORD-0467"/>
    <x v="264"/>
    <s v="CUST-1201"/>
    <x v="1"/>
    <x v="3"/>
    <x v="0"/>
    <x v="1"/>
    <x v="1"/>
    <n v="1"/>
    <x v="463"/>
    <n v="22356000"/>
    <n v="4899000"/>
    <x v="0"/>
  </r>
  <r>
    <s v="ORD-0468"/>
    <x v="256"/>
    <s v="CUST-1189"/>
    <x v="0"/>
    <x v="3"/>
    <x v="0"/>
    <x v="2"/>
    <x v="4"/>
    <n v="1"/>
    <x v="171"/>
    <n v="21461000"/>
    <n v="4505000"/>
    <x v="0"/>
  </r>
  <r>
    <s v="ORD-0469"/>
    <x v="175"/>
    <s v="CUST-1087"/>
    <x v="1"/>
    <x v="2"/>
    <x v="1"/>
    <x v="1"/>
    <x v="0"/>
    <n v="1"/>
    <x v="464"/>
    <n v="19235000"/>
    <n v="3830000"/>
    <x v="0"/>
  </r>
  <r>
    <s v="ORD-0470"/>
    <x v="46"/>
    <s v="CUST-1121"/>
    <x v="1"/>
    <x v="6"/>
    <x v="2"/>
    <x v="1"/>
    <x v="1"/>
    <n v="1"/>
    <x v="465"/>
    <n v="52037000"/>
    <n v="10346000"/>
    <x v="0"/>
  </r>
  <r>
    <s v="ORD-0471"/>
    <x v="265"/>
    <s v="CUST-1158"/>
    <x v="1"/>
    <x v="0"/>
    <x v="0"/>
    <x v="1"/>
    <x v="5"/>
    <n v="1"/>
    <x v="466"/>
    <n v="14332000"/>
    <n v="2676000"/>
    <x v="1"/>
  </r>
  <r>
    <s v="ORD-0472"/>
    <x v="252"/>
    <s v="CUST-1218"/>
    <x v="1"/>
    <x v="7"/>
    <x v="1"/>
    <x v="1"/>
    <x v="5"/>
    <n v="1"/>
    <x v="467"/>
    <n v="18290000"/>
    <n v="2891000"/>
    <x v="0"/>
  </r>
  <r>
    <s v="ORD-0473"/>
    <x v="257"/>
    <s v="CUST-1062"/>
    <x v="0"/>
    <x v="0"/>
    <x v="0"/>
    <x v="0"/>
    <x v="2"/>
    <n v="1"/>
    <x v="468"/>
    <n v="14021000"/>
    <n v="3441000"/>
    <x v="0"/>
  </r>
  <r>
    <s v="ORD-0474"/>
    <x v="266"/>
    <s v="CUST-1189"/>
    <x v="0"/>
    <x v="7"/>
    <x v="1"/>
    <x v="0"/>
    <x v="3"/>
    <n v="1"/>
    <x v="469"/>
    <n v="18458000"/>
    <n v="3352000"/>
    <x v="0"/>
  </r>
  <r>
    <s v="ORD-0475"/>
    <x v="191"/>
    <s v="CUST-1156"/>
    <x v="0"/>
    <x v="4"/>
    <x v="0"/>
    <x v="2"/>
    <x v="1"/>
    <n v="2"/>
    <x v="470"/>
    <n v="48550000"/>
    <n v="7609000"/>
    <x v="0"/>
  </r>
  <r>
    <s v="ORD-0476"/>
    <x v="267"/>
    <s v="CUST-1243"/>
    <x v="1"/>
    <x v="5"/>
    <x v="1"/>
    <x v="0"/>
    <x v="0"/>
    <n v="1"/>
    <x v="471"/>
    <n v="33982000"/>
    <n v="7033000"/>
    <x v="0"/>
  </r>
  <r>
    <s v="ORD-0477"/>
    <x v="268"/>
    <s v="CUST-1198"/>
    <x v="0"/>
    <x v="7"/>
    <x v="1"/>
    <x v="2"/>
    <x v="5"/>
    <n v="1"/>
    <x v="472"/>
    <n v="19153000"/>
    <n v="3512000"/>
    <x v="0"/>
  </r>
  <r>
    <s v="ORD-0478"/>
    <x v="103"/>
    <s v="CUST-1202"/>
    <x v="0"/>
    <x v="6"/>
    <x v="2"/>
    <x v="2"/>
    <x v="4"/>
    <n v="2"/>
    <x v="473"/>
    <n v="98554000"/>
    <n v="23770000"/>
    <x v="0"/>
  </r>
  <r>
    <s v="ORD-0479"/>
    <x v="62"/>
    <s v="CUST-1064"/>
    <x v="1"/>
    <x v="4"/>
    <x v="0"/>
    <x v="3"/>
    <x v="3"/>
    <n v="2"/>
    <x v="474"/>
    <n v="44125000"/>
    <n v="13282000"/>
    <x v="0"/>
  </r>
  <r>
    <s v="ORD-0480"/>
    <x v="45"/>
    <s v="CUST-1229"/>
    <x v="0"/>
    <x v="6"/>
    <x v="2"/>
    <x v="1"/>
    <x v="5"/>
    <n v="1"/>
    <x v="475"/>
    <n v="50382000"/>
    <n v="14344000"/>
    <x v="0"/>
  </r>
  <r>
    <s v="ORD-0481"/>
    <x v="135"/>
    <s v="CUST-1224"/>
    <x v="0"/>
    <x v="7"/>
    <x v="1"/>
    <x v="3"/>
    <x v="2"/>
    <n v="2"/>
    <x v="476"/>
    <n v="35501000"/>
    <n v="8713000"/>
    <x v="0"/>
  </r>
  <r>
    <s v="ORD-0482"/>
    <x v="260"/>
    <s v="CUST-1174"/>
    <x v="1"/>
    <x v="4"/>
    <x v="0"/>
    <x v="4"/>
    <x v="0"/>
    <n v="1"/>
    <x v="477"/>
    <n v="22288000"/>
    <n v="5080000"/>
    <x v="0"/>
  </r>
  <r>
    <s v="ORD-0483"/>
    <x v="212"/>
    <s v="CUST-1226"/>
    <x v="1"/>
    <x v="2"/>
    <x v="1"/>
    <x v="1"/>
    <x v="5"/>
    <n v="1"/>
    <x v="478"/>
    <n v="20039000"/>
    <n v="4026000"/>
    <x v="0"/>
  </r>
  <r>
    <s v="ORD-0484"/>
    <x v="141"/>
    <s v="CUST-1135"/>
    <x v="0"/>
    <x v="0"/>
    <x v="0"/>
    <x v="4"/>
    <x v="1"/>
    <n v="1"/>
    <x v="479"/>
    <n v="14863000"/>
    <n v="2988000"/>
    <x v="0"/>
  </r>
  <r>
    <s v="ORD-0485"/>
    <x v="56"/>
    <s v="CUST-1133"/>
    <x v="1"/>
    <x v="0"/>
    <x v="0"/>
    <x v="4"/>
    <x v="5"/>
    <n v="2"/>
    <x v="480"/>
    <n v="28876000"/>
    <n v="8595000"/>
    <x v="0"/>
  </r>
  <r>
    <s v="ORD-0486"/>
    <x v="269"/>
    <s v="CUST-1048"/>
    <x v="0"/>
    <x v="0"/>
    <x v="0"/>
    <x v="1"/>
    <x v="5"/>
    <n v="1"/>
    <x v="481"/>
    <n v="14299000"/>
    <n v="2857000"/>
    <x v="0"/>
  </r>
  <r>
    <s v="ORD-0487"/>
    <x v="221"/>
    <s v="CUST-1193"/>
    <x v="0"/>
    <x v="4"/>
    <x v="0"/>
    <x v="3"/>
    <x v="5"/>
    <n v="1"/>
    <x v="482"/>
    <n v="23024000"/>
    <n v="4447000"/>
    <x v="0"/>
  </r>
  <r>
    <s v="ORD-0488"/>
    <x v="22"/>
    <s v="CUST-1070"/>
    <x v="1"/>
    <x v="4"/>
    <x v="0"/>
    <x v="2"/>
    <x v="0"/>
    <n v="1"/>
    <x v="483"/>
    <n v="22570000"/>
    <n v="6354000"/>
    <x v="0"/>
  </r>
  <r>
    <s v="ORD-0489"/>
    <x v="270"/>
    <s v="CUST-1108"/>
    <x v="1"/>
    <x v="7"/>
    <x v="1"/>
    <x v="4"/>
    <x v="2"/>
    <n v="1"/>
    <x v="484"/>
    <n v="18251000"/>
    <n v="4541000"/>
    <x v="0"/>
  </r>
  <r>
    <s v="ORD-0490"/>
    <x v="156"/>
    <s v="CUST-1102"/>
    <x v="0"/>
    <x v="1"/>
    <x v="1"/>
    <x v="0"/>
    <x v="4"/>
    <n v="1"/>
    <x v="485"/>
    <n v="43770000"/>
    <n v="-2025000"/>
    <x v="0"/>
  </r>
  <r>
    <s v="ORD-0491"/>
    <x v="34"/>
    <s v="CUST-1093"/>
    <x v="0"/>
    <x v="0"/>
    <x v="0"/>
    <x v="3"/>
    <x v="0"/>
    <n v="1"/>
    <x v="486"/>
    <n v="14427000"/>
    <n v="3967000"/>
    <x v="0"/>
  </r>
  <r>
    <s v="ORD-0492"/>
    <x v="69"/>
    <s v="CUST-1051"/>
    <x v="1"/>
    <x v="7"/>
    <x v="1"/>
    <x v="1"/>
    <x v="0"/>
    <n v="1"/>
    <x v="487"/>
    <n v="18972000"/>
    <n v="2055000"/>
    <x v="1"/>
  </r>
  <r>
    <s v="ORD-0493"/>
    <x v="207"/>
    <s v="CUST-1189"/>
    <x v="1"/>
    <x v="6"/>
    <x v="2"/>
    <x v="4"/>
    <x v="3"/>
    <n v="1"/>
    <x v="488"/>
    <n v="51375000"/>
    <n v="-2047000"/>
    <x v="0"/>
  </r>
  <r>
    <s v="ORD-0494"/>
    <x v="271"/>
    <s v="CUST-1108"/>
    <x v="1"/>
    <x v="5"/>
    <x v="1"/>
    <x v="1"/>
    <x v="0"/>
    <n v="2"/>
    <x v="489"/>
    <n v="71998000"/>
    <n v="18549000"/>
    <x v="0"/>
  </r>
  <r>
    <s v="ORD-0495"/>
    <x v="164"/>
    <s v="CUST-1069"/>
    <x v="1"/>
    <x v="2"/>
    <x v="1"/>
    <x v="1"/>
    <x v="4"/>
    <n v="1"/>
    <x v="490"/>
    <n v="19437000"/>
    <n v="3835000"/>
    <x v="0"/>
  </r>
  <r>
    <s v="ORD-0496"/>
    <x v="189"/>
    <s v="CUST-1106"/>
    <x v="1"/>
    <x v="4"/>
    <x v="0"/>
    <x v="2"/>
    <x v="2"/>
    <n v="2"/>
    <x v="491"/>
    <n v="46803000"/>
    <n v="9468000"/>
    <x v="1"/>
  </r>
  <r>
    <s v="ORD-0497"/>
    <x v="272"/>
    <s v="CUST-1102"/>
    <x v="1"/>
    <x v="0"/>
    <x v="0"/>
    <x v="0"/>
    <x v="3"/>
    <n v="1"/>
    <x v="492"/>
    <n v="14862000"/>
    <n v="3799000"/>
    <x v="0"/>
  </r>
  <r>
    <s v="ORD-0498"/>
    <x v="16"/>
    <s v="CUST-1027"/>
    <x v="1"/>
    <x v="7"/>
    <x v="1"/>
    <x v="3"/>
    <x v="0"/>
    <n v="1"/>
    <x v="493"/>
    <n v="18344000"/>
    <n v="4541000"/>
    <x v="1"/>
  </r>
  <r>
    <s v="ORD-0499"/>
    <x v="273"/>
    <s v="CUST-1033"/>
    <x v="0"/>
    <x v="0"/>
    <x v="0"/>
    <x v="2"/>
    <x v="0"/>
    <n v="1"/>
    <x v="494"/>
    <n v="14845000"/>
    <n v="2612000"/>
    <x v="0"/>
  </r>
  <r>
    <s v="ORD-0500"/>
    <x v="229"/>
    <s v="CUST-1139"/>
    <x v="0"/>
    <x v="0"/>
    <x v="0"/>
    <x v="3"/>
    <x v="0"/>
    <n v="2"/>
    <x v="495"/>
    <n v="28931000"/>
    <n v="6431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L101:L110"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numFmtId="165" showAll="0"/>
    <pivotField numFmtId="165" showAll="0"/>
    <pivotField numFmtId="165" showAll="0"/>
    <pivotField showAll="0"/>
  </pivotFields>
  <rowFields count="1">
    <field x="4"/>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91:A104" firstHeaderRow="1" firstDataRow="1" firstDataCol="1"/>
  <pivotFields count="13">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numFmtId="165" showAll="0"/>
    <pivotField numFmtId="165" showAll="0"/>
    <pivotField numFmtId="165" showAll="0"/>
    <pivotField showAll="0"/>
  </pivotFields>
  <rowFields count="1">
    <field x="1"/>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
  <location ref="J56:K58"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9">
        <item x="3"/>
        <item x="2"/>
        <item x="7"/>
        <item x="1"/>
        <item x="6"/>
        <item x="4"/>
        <item x="0"/>
        <item x="5"/>
        <item t="default"/>
      </items>
    </pivotField>
    <pivotField showAll="0"/>
    <pivotField axis="axisRow" showAll="0">
      <items count="6">
        <item h="1" x="4"/>
        <item h="1" x="0"/>
        <item h="1" x="3"/>
        <item h="1" x="2"/>
        <item x="1"/>
        <item t="default"/>
      </items>
    </pivotField>
    <pivotField showAll="0"/>
    <pivotField showAll="0"/>
    <pivotField dataField="1" numFmtId="165" showAll="0">
      <items count="497">
        <item x="402"/>
        <item x="19"/>
        <item x="197"/>
        <item x="3"/>
        <item x="131"/>
        <item x="352"/>
        <item x="431"/>
        <item x="166"/>
        <item x="293"/>
        <item x="192"/>
        <item x="458"/>
        <item x="0"/>
        <item x="388"/>
        <item x="379"/>
        <item x="411"/>
        <item x="231"/>
        <item x="284"/>
        <item x="381"/>
        <item x="221"/>
        <item x="452"/>
        <item x="178"/>
        <item x="79"/>
        <item x="466"/>
        <item x="286"/>
        <item x="382"/>
        <item x="60"/>
        <item x="95"/>
        <item x="133"/>
        <item x="481"/>
        <item x="243"/>
        <item x="265"/>
        <item x="420"/>
        <item x="451"/>
        <item x="140"/>
        <item x="325"/>
        <item x="415"/>
        <item x="494"/>
        <item x="468"/>
        <item x="32"/>
        <item x="143"/>
        <item x="194"/>
        <item x="347"/>
        <item x="43"/>
        <item x="421"/>
        <item x="39"/>
        <item x="359"/>
        <item x="136"/>
        <item x="174"/>
        <item x="435"/>
        <item x="479"/>
        <item x="180"/>
        <item x="329"/>
        <item x="288"/>
        <item x="162"/>
        <item x="373"/>
        <item x="181"/>
        <item x="390"/>
        <item x="427"/>
        <item x="196"/>
        <item x="164"/>
        <item x="93"/>
        <item x="34"/>
        <item x="327"/>
        <item x="1"/>
        <item x="486"/>
        <item x="449"/>
        <item x="413"/>
        <item x="64"/>
        <item x="358"/>
        <item x="267"/>
        <item x="255"/>
        <item x="440"/>
        <item x="492"/>
        <item x="268"/>
        <item x="165"/>
        <item x="324"/>
        <item x="141"/>
        <item x="262"/>
        <item x="41"/>
        <item x="246"/>
        <item x="160"/>
        <item x="348"/>
        <item x="455"/>
        <item x="86"/>
        <item x="144"/>
        <item x="4"/>
        <item x="146"/>
        <item x="182"/>
        <item x="215"/>
        <item x="106"/>
        <item x="351"/>
        <item x="154"/>
        <item x="108"/>
        <item x="113"/>
        <item x="172"/>
        <item x="405"/>
        <item x="419"/>
        <item x="150"/>
        <item x="59"/>
        <item x="169"/>
        <item x="200"/>
        <item x="244"/>
        <item x="336"/>
        <item x="250"/>
        <item x="363"/>
        <item x="84"/>
        <item x="377"/>
        <item x="15"/>
        <item x="242"/>
        <item x="149"/>
        <item x="314"/>
        <item x="73"/>
        <item x="13"/>
        <item x="487"/>
        <item x="374"/>
        <item x="423"/>
        <item x="241"/>
        <item x="467"/>
        <item x="436"/>
        <item x="69"/>
        <item x="298"/>
        <item x="138"/>
        <item x="119"/>
        <item x="82"/>
        <item x="302"/>
        <item x="21"/>
        <item x="104"/>
        <item x="110"/>
        <item x="193"/>
        <item x="342"/>
        <item x="380"/>
        <item x="24"/>
        <item x="469"/>
        <item x="92"/>
        <item x="107"/>
        <item x="273"/>
        <item x="400"/>
        <item x="328"/>
        <item x="448"/>
        <item x="29"/>
        <item x="272"/>
        <item x="418"/>
        <item x="128"/>
        <item x="316"/>
        <item x="212"/>
        <item x="280"/>
        <item x="416"/>
        <item x="472"/>
        <item x="271"/>
        <item x="51"/>
        <item x="308"/>
        <item x="393"/>
        <item x="484"/>
        <item x="251"/>
        <item x="20"/>
        <item x="493"/>
        <item x="152"/>
        <item x="35"/>
        <item x="254"/>
        <item x="320"/>
        <item x="464"/>
        <item x="156"/>
        <item x="321"/>
        <item x="120"/>
        <item x="378"/>
        <item x="412"/>
        <item x="414"/>
        <item x="433"/>
        <item x="56"/>
        <item x="249"/>
        <item x="366"/>
        <item x="77"/>
        <item x="430"/>
        <item x="490"/>
        <item x="395"/>
        <item x="137"/>
        <item x="52"/>
        <item x="323"/>
        <item x="218"/>
        <item x="406"/>
        <item x="443"/>
        <item x="344"/>
        <item x="391"/>
        <item x="158"/>
        <item x="208"/>
        <item x="309"/>
        <item x="85"/>
        <item x="292"/>
        <item x="270"/>
        <item x="229"/>
        <item x="362"/>
        <item x="54"/>
        <item x="167"/>
        <item x="478"/>
        <item x="139"/>
        <item x="317"/>
        <item x="16"/>
        <item x="127"/>
        <item x="356"/>
        <item x="147"/>
        <item x="300"/>
        <item x="287"/>
        <item x="219"/>
        <item x="80"/>
        <item x="407"/>
        <item x="248"/>
        <item x="397"/>
        <item x="385"/>
        <item x="100"/>
        <item x="274"/>
        <item x="118"/>
        <item x="159"/>
        <item x="211"/>
        <item x="441"/>
        <item x="44"/>
        <item x="8"/>
        <item x="227"/>
        <item x="72"/>
        <item x="201"/>
        <item x="332"/>
        <item x="18"/>
        <item x="239"/>
        <item x="299"/>
        <item x="238"/>
        <item x="135"/>
        <item x="439"/>
        <item x="171"/>
        <item x="256"/>
        <item x="261"/>
        <item x="263"/>
        <item x="195"/>
        <item x="175"/>
        <item x="153"/>
        <item x="234"/>
        <item x="462"/>
        <item x="345"/>
        <item x="97"/>
        <item x="386"/>
        <item x="450"/>
        <item x="259"/>
        <item x="260"/>
        <item x="225"/>
        <item x="114"/>
        <item x="335"/>
        <item x="7"/>
        <item x="343"/>
        <item x="326"/>
        <item x="123"/>
        <item x="442"/>
        <item x="103"/>
        <item x="203"/>
        <item x="10"/>
        <item x="184"/>
        <item x="87"/>
        <item x="207"/>
        <item x="134"/>
        <item x="463"/>
        <item x="6"/>
        <item x="432"/>
        <item x="477"/>
        <item x="322"/>
        <item x="404"/>
        <item x="177"/>
        <item x="289"/>
        <item x="482"/>
        <item x="424"/>
        <item x="392"/>
        <item x="305"/>
        <item x="253"/>
        <item x="179"/>
        <item x="233"/>
        <item x="129"/>
        <item x="341"/>
        <item x="125"/>
        <item x="220"/>
        <item x="354"/>
        <item x="53"/>
        <item x="45"/>
        <item x="444"/>
        <item x="275"/>
        <item x="46"/>
        <item x="81"/>
        <item x="389"/>
        <item x="426"/>
        <item x="206"/>
        <item x="425"/>
        <item x="22"/>
        <item x="183"/>
        <item x="132"/>
        <item x="224"/>
        <item x="252"/>
        <item x="213"/>
        <item x="126"/>
        <item x="447"/>
        <item x="240"/>
        <item x="483"/>
        <item x="186"/>
        <item x="31"/>
        <item x="33"/>
        <item x="102"/>
        <item x="198"/>
        <item x="188"/>
        <item x="161"/>
        <item x="384"/>
        <item x="78"/>
        <item x="49"/>
        <item x="247"/>
        <item x="311"/>
        <item x="38"/>
        <item x="258"/>
        <item x="155"/>
        <item x="42"/>
        <item x="205"/>
        <item x="283"/>
        <item x="90"/>
        <item x="216"/>
        <item x="434"/>
        <item x="460"/>
        <item x="285"/>
        <item x="264"/>
        <item x="112"/>
        <item x="495"/>
        <item x="318"/>
        <item x="168"/>
        <item x="187"/>
        <item x="417"/>
        <item x="62"/>
        <item x="457"/>
        <item x="226"/>
        <item x="210"/>
        <item x="480"/>
        <item x="23"/>
        <item x="339"/>
        <item x="461"/>
        <item x="295"/>
        <item x="453"/>
        <item x="105"/>
        <item x="313"/>
        <item x="223"/>
        <item x="148"/>
        <item x="101"/>
        <item x="350"/>
        <item x="471"/>
        <item x="61"/>
        <item x="75"/>
        <item x="37"/>
        <item x="428"/>
        <item x="485"/>
        <item x="99"/>
        <item x="353"/>
        <item x="163"/>
        <item x="63"/>
        <item x="235"/>
        <item x="312"/>
        <item x="294"/>
        <item x="370"/>
        <item x="11"/>
        <item x="9"/>
        <item x="278"/>
        <item x="98"/>
        <item x="337"/>
        <item x="83"/>
        <item x="307"/>
        <item x="346"/>
        <item x="476"/>
        <item x="245"/>
        <item x="454"/>
        <item x="55"/>
        <item x="230"/>
        <item x="281"/>
        <item x="116"/>
        <item x="282"/>
        <item x="409"/>
        <item x="190"/>
        <item x="361"/>
        <item x="333"/>
        <item x="446"/>
        <item x="185"/>
        <item x="291"/>
        <item x="109"/>
        <item x="399"/>
        <item x="375"/>
        <item x="115"/>
        <item x="422"/>
        <item x="437"/>
        <item x="142"/>
        <item x="151"/>
        <item x="257"/>
        <item x="364"/>
        <item x="488"/>
        <item x="30"/>
        <item x="237"/>
        <item x="191"/>
        <item x="121"/>
        <item x="189"/>
        <item x="340"/>
        <item x="269"/>
        <item x="76"/>
        <item x="228"/>
        <item x="5"/>
        <item x="357"/>
        <item x="396"/>
        <item x="176"/>
        <item x="330"/>
        <item x="68"/>
        <item x="303"/>
        <item x="403"/>
        <item x="66"/>
        <item x="304"/>
        <item x="306"/>
        <item x="88"/>
        <item x="222"/>
        <item x="319"/>
        <item x="376"/>
        <item x="290"/>
        <item x="94"/>
        <item x="124"/>
        <item x="48"/>
        <item x="67"/>
        <item x="89"/>
        <item x="367"/>
        <item x="170"/>
        <item x="296"/>
        <item x="266"/>
        <item x="50"/>
        <item x="371"/>
        <item x="365"/>
        <item x="456"/>
        <item x="408"/>
        <item x="470"/>
        <item x="14"/>
        <item x="438"/>
        <item x="491"/>
        <item x="474"/>
        <item x="398"/>
        <item x="117"/>
        <item x="459"/>
        <item x="70"/>
        <item x="279"/>
        <item x="277"/>
        <item x="429"/>
        <item x="25"/>
        <item x="394"/>
        <item x="360"/>
        <item x="368"/>
        <item x="301"/>
        <item x="372"/>
        <item x="401"/>
        <item x="57"/>
        <item x="65"/>
        <item x="36"/>
        <item x="297"/>
        <item x="387"/>
        <item x="445"/>
        <item x="465"/>
        <item x="214"/>
        <item x="12"/>
        <item x="209"/>
        <item x="173"/>
        <item x="338"/>
        <item x="47"/>
        <item x="111"/>
        <item x="58"/>
        <item x="27"/>
        <item x="475"/>
        <item x="349"/>
        <item x="410"/>
        <item x="315"/>
        <item x="383"/>
        <item x="26"/>
        <item x="91"/>
        <item x="28"/>
        <item x="40"/>
        <item x="232"/>
        <item x="236"/>
        <item x="145"/>
        <item x="355"/>
        <item x="199"/>
        <item x="17"/>
        <item x="276"/>
        <item x="157"/>
        <item x="204"/>
        <item x="489"/>
        <item x="310"/>
        <item x="2"/>
        <item x="96"/>
        <item x="473"/>
        <item x="217"/>
        <item x="130"/>
        <item x="71"/>
        <item x="74"/>
        <item x="334"/>
        <item x="369"/>
        <item x="331"/>
        <item x="202"/>
        <item x="122"/>
        <item t="default"/>
      </items>
    </pivotField>
    <pivotField numFmtId="165" showAll="0"/>
    <pivotField numFmtId="165" showAll="0"/>
    <pivotField showAll="0"/>
  </pivotFields>
  <rowFields count="1">
    <field x="6"/>
  </rowFields>
  <rowItems count="2">
    <i>
      <x v="4"/>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rowHeaderCaption="Region">
  <location ref="A43:D46" firstHeaderRow="1" firstDataRow="2" firstDataCol="1" rowPageCount="1" colPageCount="1"/>
  <pivotFields count="13">
    <pivotField showAll="0"/>
    <pivotField axis="axisCol" numFmtId="164" showAll="0">
      <items count="15">
        <item h="1" x="0"/>
        <item h="1" x="1"/>
        <item h="1" x="2"/>
        <item h="1" x="3"/>
        <item h="1" x="4"/>
        <item h="1" x="5"/>
        <item h="1" x="6"/>
        <item h="1" x="7"/>
        <item x="8"/>
        <item x="9"/>
        <item h="1" x="10"/>
        <item h="1" x="11"/>
        <item h="1" x="12"/>
        <item h="1" x="13"/>
        <item t="default"/>
      </items>
    </pivotField>
    <pivotField showAll="0"/>
    <pivotField showAll="0"/>
    <pivotField axis="axisPage" showAll="0">
      <items count="9">
        <item x="3"/>
        <item x="2"/>
        <item x="7"/>
        <item x="1"/>
        <item x="6"/>
        <item x="4"/>
        <item x="0"/>
        <item x="5"/>
        <item t="default"/>
      </items>
    </pivotField>
    <pivotField showAll="0"/>
    <pivotField axis="axisRow" showAll="0">
      <items count="6">
        <item h="1" x="4"/>
        <item h="1" x="0"/>
        <item h="1" x="3"/>
        <item h="1" x="2"/>
        <item x="1"/>
        <item t="default"/>
      </items>
    </pivotField>
    <pivotField showAll="0"/>
    <pivotField showAll="0"/>
    <pivotField dataField="1" numFmtId="165" showAll="0"/>
    <pivotField numFmtId="165" showAll="0"/>
    <pivotField numFmtId="165" showAll="0"/>
    <pivotField showAll="0"/>
  </pivotFields>
  <rowFields count="1">
    <field x="6"/>
  </rowFields>
  <rowItems count="2">
    <i>
      <x v="4"/>
    </i>
    <i t="grand">
      <x/>
    </i>
  </rowItems>
  <colFields count="1">
    <field x="1"/>
  </colFields>
  <colItems count="3">
    <i>
      <x v="8"/>
    </i>
    <i>
      <x v="9"/>
    </i>
    <i t="grand">
      <x/>
    </i>
  </colItems>
  <pageFields count="1">
    <pageField fld="4" hier="-1"/>
  </pageField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L8:L9" firstHeaderRow="1" firstDataRow="1" firstDataCol="0"/>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dataField="1" numFmtId="165" showAll="0"/>
    <pivotField numFmtId="165" showAll="0"/>
    <pivotField numFmtId="165" showAll="0"/>
    <pivotField showAll="0"/>
  </pivotFields>
  <rowItems count="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0" rowHeaderCaption="Region" colHeaderCaption="Aug-Sep">
  <location ref="A32:D35" firstHeaderRow="1" firstDataRow="2" firstDataCol="1"/>
  <pivotFields count="13">
    <pivotField showAll="0"/>
    <pivotField axis="axisCol" numFmtId="164" showAll="0">
      <items count="15">
        <item h="1" x="0"/>
        <item h="1" x="1"/>
        <item h="1" x="2"/>
        <item h="1" x="3"/>
        <item h="1" x="4"/>
        <item h="1" x="5"/>
        <item h="1" x="6"/>
        <item h="1" x="7"/>
        <item x="8"/>
        <item x="9"/>
        <item h="1" x="10"/>
        <item h="1" x="11"/>
        <item h="1" x="12"/>
        <item h="1" x="13"/>
        <item t="default"/>
      </items>
    </pivotField>
    <pivotField showAll="0"/>
    <pivotField showAll="0"/>
    <pivotField showAll="0">
      <items count="9">
        <item x="3"/>
        <item x="2"/>
        <item x="7"/>
        <item x="1"/>
        <item x="6"/>
        <item x="4"/>
        <item x="0"/>
        <item x="5"/>
        <item t="default"/>
      </items>
    </pivotField>
    <pivotField showAll="0"/>
    <pivotField axis="axisRow" showAll="0">
      <items count="6">
        <item h="1" x="4"/>
        <item h="1" x="0"/>
        <item h="1" x="3"/>
        <item h="1" x="2"/>
        <item x="1"/>
        <item t="default"/>
      </items>
    </pivotField>
    <pivotField showAll="0"/>
    <pivotField showAll="0"/>
    <pivotField dataField="1" numFmtId="165" showAll="0"/>
    <pivotField numFmtId="165" showAll="0"/>
    <pivotField numFmtId="165" showAll="0"/>
    <pivotField showAll="0"/>
  </pivotFields>
  <rowFields count="1">
    <field x="6"/>
  </rowFields>
  <rowItems count="2">
    <i>
      <x v="4"/>
    </i>
    <i t="grand">
      <x/>
    </i>
  </rowItems>
  <colFields count="1">
    <field x="1"/>
  </colFields>
  <colItems count="3">
    <i>
      <x v="8"/>
    </i>
    <i>
      <x v="9"/>
    </i>
    <i t="grand">
      <x/>
    </i>
  </colItems>
  <dataFields count="1">
    <dataField name="Sum of Sales" fld="9" baseField="0" baseItem="0"/>
  </dataFields>
  <chartFormats count="4">
    <chartFormat chart="0" format="0" series="1">
      <pivotArea type="data" outline="0" fieldPosition="0">
        <references count="2">
          <reference field="4294967294" count="1" selected="0">
            <x v="0"/>
          </reference>
          <reference field="1" count="1" selected="0">
            <x v="8"/>
          </reference>
        </references>
      </pivotArea>
    </chartFormat>
    <chartFormat chart="0" format="1" series="1">
      <pivotArea type="data" outline="0" fieldPosition="0">
        <references count="2">
          <reference field="4294967294" count="1" selected="0">
            <x v="0"/>
          </reference>
          <reference field="1" count="1" selected="0">
            <x v="9"/>
          </reference>
        </references>
      </pivotArea>
    </chartFormat>
    <chartFormat chart="2" format="4" series="1">
      <pivotArea type="data" outline="0" fieldPosition="0">
        <references count="2">
          <reference field="4294967294" count="1" selected="0">
            <x v="0"/>
          </reference>
          <reference field="1" count="1" selected="0">
            <x v="8"/>
          </reference>
        </references>
      </pivotArea>
    </chartFormat>
    <chartFormat chart="2" format="5"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L11:N28" firstHeaderRow="1" firstDataRow="1" firstDataCol="0"/>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numFmtId="165" showAll="0"/>
    <pivotField numFmtId="165" showAll="0"/>
    <pivotField numFmtId="165"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
  <location ref="G53:H55"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9">
        <item x="3"/>
        <item x="2"/>
        <item x="7"/>
        <item x="1"/>
        <item x="6"/>
        <item x="4"/>
        <item x="0"/>
        <item x="5"/>
        <item t="default"/>
      </items>
    </pivotField>
    <pivotField showAll="0"/>
    <pivotField axis="axisRow" showAll="0">
      <items count="6">
        <item h="1" x="4"/>
        <item h="1" x="0"/>
        <item h="1" x="3"/>
        <item h="1" x="2"/>
        <item x="1"/>
        <item t="default"/>
      </items>
    </pivotField>
    <pivotField showAll="0"/>
    <pivotField showAll="0"/>
    <pivotField dataField="1" numFmtId="165" showAll="0">
      <items count="497">
        <item x="402"/>
        <item x="19"/>
        <item x="197"/>
        <item x="3"/>
        <item x="131"/>
        <item x="352"/>
        <item x="431"/>
        <item x="166"/>
        <item x="293"/>
        <item x="192"/>
        <item x="458"/>
        <item x="0"/>
        <item x="388"/>
        <item x="379"/>
        <item x="411"/>
        <item x="231"/>
        <item x="284"/>
        <item x="381"/>
        <item x="221"/>
        <item x="452"/>
        <item x="178"/>
        <item x="79"/>
        <item x="466"/>
        <item x="286"/>
        <item x="382"/>
        <item x="60"/>
        <item x="95"/>
        <item x="133"/>
        <item x="481"/>
        <item x="243"/>
        <item x="265"/>
        <item x="420"/>
        <item x="451"/>
        <item x="140"/>
        <item x="325"/>
        <item x="415"/>
        <item x="494"/>
        <item x="468"/>
        <item x="32"/>
        <item x="143"/>
        <item x="194"/>
        <item x="347"/>
        <item x="43"/>
        <item x="421"/>
        <item x="39"/>
        <item x="359"/>
        <item x="136"/>
        <item x="174"/>
        <item x="435"/>
        <item x="479"/>
        <item x="180"/>
        <item x="329"/>
        <item x="288"/>
        <item x="162"/>
        <item x="373"/>
        <item x="181"/>
        <item x="390"/>
        <item x="427"/>
        <item x="196"/>
        <item x="164"/>
        <item x="93"/>
        <item x="34"/>
        <item x="327"/>
        <item x="1"/>
        <item x="486"/>
        <item x="449"/>
        <item x="413"/>
        <item x="64"/>
        <item x="358"/>
        <item x="267"/>
        <item x="255"/>
        <item x="440"/>
        <item x="492"/>
        <item x="268"/>
        <item x="165"/>
        <item x="324"/>
        <item x="141"/>
        <item x="262"/>
        <item x="41"/>
        <item x="246"/>
        <item x="160"/>
        <item x="348"/>
        <item x="455"/>
        <item x="86"/>
        <item x="144"/>
        <item x="4"/>
        <item x="146"/>
        <item x="182"/>
        <item x="215"/>
        <item x="106"/>
        <item x="351"/>
        <item x="154"/>
        <item x="108"/>
        <item x="113"/>
        <item x="172"/>
        <item x="405"/>
        <item x="419"/>
        <item x="150"/>
        <item x="59"/>
        <item x="169"/>
        <item x="200"/>
        <item x="244"/>
        <item x="336"/>
        <item x="250"/>
        <item x="363"/>
        <item x="84"/>
        <item x="377"/>
        <item x="15"/>
        <item x="242"/>
        <item x="149"/>
        <item x="314"/>
        <item x="73"/>
        <item x="13"/>
        <item x="487"/>
        <item x="374"/>
        <item x="423"/>
        <item x="241"/>
        <item x="467"/>
        <item x="436"/>
        <item x="69"/>
        <item x="298"/>
        <item x="138"/>
        <item x="119"/>
        <item x="82"/>
        <item x="302"/>
        <item x="21"/>
        <item x="104"/>
        <item x="110"/>
        <item x="193"/>
        <item x="342"/>
        <item x="380"/>
        <item x="24"/>
        <item x="469"/>
        <item x="92"/>
        <item x="107"/>
        <item x="273"/>
        <item x="400"/>
        <item x="328"/>
        <item x="448"/>
        <item x="29"/>
        <item x="272"/>
        <item x="418"/>
        <item x="128"/>
        <item x="316"/>
        <item x="212"/>
        <item x="280"/>
        <item x="416"/>
        <item x="472"/>
        <item x="271"/>
        <item x="51"/>
        <item x="308"/>
        <item x="393"/>
        <item x="484"/>
        <item x="251"/>
        <item x="20"/>
        <item x="493"/>
        <item x="152"/>
        <item x="35"/>
        <item x="254"/>
        <item x="320"/>
        <item x="464"/>
        <item x="156"/>
        <item x="321"/>
        <item x="120"/>
        <item x="378"/>
        <item x="412"/>
        <item x="414"/>
        <item x="433"/>
        <item x="56"/>
        <item x="249"/>
        <item x="366"/>
        <item x="77"/>
        <item x="430"/>
        <item x="490"/>
        <item x="395"/>
        <item x="137"/>
        <item x="52"/>
        <item x="323"/>
        <item x="218"/>
        <item x="406"/>
        <item x="443"/>
        <item x="344"/>
        <item x="391"/>
        <item x="158"/>
        <item x="208"/>
        <item x="309"/>
        <item x="85"/>
        <item x="292"/>
        <item x="270"/>
        <item x="229"/>
        <item x="362"/>
        <item x="54"/>
        <item x="167"/>
        <item x="478"/>
        <item x="139"/>
        <item x="317"/>
        <item x="16"/>
        <item x="127"/>
        <item x="356"/>
        <item x="147"/>
        <item x="300"/>
        <item x="287"/>
        <item x="219"/>
        <item x="80"/>
        <item x="407"/>
        <item x="248"/>
        <item x="397"/>
        <item x="385"/>
        <item x="100"/>
        <item x="274"/>
        <item x="118"/>
        <item x="159"/>
        <item x="211"/>
        <item x="441"/>
        <item x="44"/>
        <item x="8"/>
        <item x="227"/>
        <item x="72"/>
        <item x="201"/>
        <item x="332"/>
        <item x="18"/>
        <item x="239"/>
        <item x="299"/>
        <item x="238"/>
        <item x="135"/>
        <item x="439"/>
        <item x="171"/>
        <item x="256"/>
        <item x="261"/>
        <item x="263"/>
        <item x="195"/>
        <item x="175"/>
        <item x="153"/>
        <item x="234"/>
        <item x="462"/>
        <item x="345"/>
        <item x="97"/>
        <item x="386"/>
        <item x="450"/>
        <item x="259"/>
        <item x="260"/>
        <item x="225"/>
        <item x="114"/>
        <item x="335"/>
        <item x="7"/>
        <item x="343"/>
        <item x="326"/>
        <item x="123"/>
        <item x="442"/>
        <item x="103"/>
        <item x="203"/>
        <item x="10"/>
        <item x="184"/>
        <item x="87"/>
        <item x="207"/>
        <item x="134"/>
        <item x="463"/>
        <item x="6"/>
        <item x="432"/>
        <item x="477"/>
        <item x="322"/>
        <item x="404"/>
        <item x="177"/>
        <item x="289"/>
        <item x="482"/>
        <item x="424"/>
        <item x="392"/>
        <item x="305"/>
        <item x="253"/>
        <item x="179"/>
        <item x="233"/>
        <item x="129"/>
        <item x="341"/>
        <item x="125"/>
        <item x="220"/>
        <item x="354"/>
        <item x="53"/>
        <item x="45"/>
        <item x="444"/>
        <item x="275"/>
        <item x="46"/>
        <item x="81"/>
        <item x="389"/>
        <item x="426"/>
        <item x="206"/>
        <item x="425"/>
        <item x="22"/>
        <item x="183"/>
        <item x="132"/>
        <item x="224"/>
        <item x="252"/>
        <item x="213"/>
        <item x="126"/>
        <item x="447"/>
        <item x="240"/>
        <item x="483"/>
        <item x="186"/>
        <item x="31"/>
        <item x="33"/>
        <item x="102"/>
        <item x="198"/>
        <item x="188"/>
        <item x="161"/>
        <item x="384"/>
        <item x="78"/>
        <item x="49"/>
        <item x="247"/>
        <item x="311"/>
        <item x="38"/>
        <item x="258"/>
        <item x="155"/>
        <item x="42"/>
        <item x="205"/>
        <item x="283"/>
        <item x="90"/>
        <item x="216"/>
        <item x="434"/>
        <item x="460"/>
        <item x="285"/>
        <item x="264"/>
        <item x="112"/>
        <item x="495"/>
        <item x="318"/>
        <item x="168"/>
        <item x="187"/>
        <item x="417"/>
        <item x="62"/>
        <item x="457"/>
        <item x="226"/>
        <item x="210"/>
        <item x="480"/>
        <item x="23"/>
        <item x="339"/>
        <item x="461"/>
        <item x="295"/>
        <item x="453"/>
        <item x="105"/>
        <item x="313"/>
        <item x="223"/>
        <item x="148"/>
        <item x="101"/>
        <item x="350"/>
        <item x="471"/>
        <item x="61"/>
        <item x="75"/>
        <item x="37"/>
        <item x="428"/>
        <item x="485"/>
        <item x="99"/>
        <item x="353"/>
        <item x="163"/>
        <item x="63"/>
        <item x="235"/>
        <item x="312"/>
        <item x="294"/>
        <item x="370"/>
        <item x="11"/>
        <item x="9"/>
        <item x="278"/>
        <item x="98"/>
        <item x="337"/>
        <item x="83"/>
        <item x="307"/>
        <item x="346"/>
        <item x="476"/>
        <item x="245"/>
        <item x="454"/>
        <item x="55"/>
        <item x="230"/>
        <item x="281"/>
        <item x="116"/>
        <item x="282"/>
        <item x="409"/>
        <item x="190"/>
        <item x="361"/>
        <item x="333"/>
        <item x="446"/>
        <item x="185"/>
        <item x="291"/>
        <item x="109"/>
        <item x="399"/>
        <item x="375"/>
        <item x="115"/>
        <item x="422"/>
        <item x="437"/>
        <item x="142"/>
        <item x="151"/>
        <item x="257"/>
        <item x="364"/>
        <item x="488"/>
        <item x="30"/>
        <item x="237"/>
        <item x="191"/>
        <item x="121"/>
        <item x="189"/>
        <item x="340"/>
        <item x="269"/>
        <item x="76"/>
        <item x="228"/>
        <item x="5"/>
        <item x="357"/>
        <item x="396"/>
        <item x="176"/>
        <item x="330"/>
        <item x="68"/>
        <item x="303"/>
        <item x="403"/>
        <item x="66"/>
        <item x="304"/>
        <item x="306"/>
        <item x="88"/>
        <item x="222"/>
        <item x="319"/>
        <item x="376"/>
        <item x="290"/>
        <item x="94"/>
        <item x="124"/>
        <item x="48"/>
        <item x="67"/>
        <item x="89"/>
        <item x="367"/>
        <item x="170"/>
        <item x="296"/>
        <item x="266"/>
        <item x="50"/>
        <item x="371"/>
        <item x="365"/>
        <item x="456"/>
        <item x="408"/>
        <item x="470"/>
        <item x="14"/>
        <item x="438"/>
        <item x="491"/>
        <item x="474"/>
        <item x="398"/>
        <item x="117"/>
        <item x="459"/>
        <item x="70"/>
        <item x="279"/>
        <item x="277"/>
        <item x="429"/>
        <item x="25"/>
        <item x="394"/>
        <item x="360"/>
        <item x="368"/>
        <item x="301"/>
        <item x="372"/>
        <item x="401"/>
        <item x="57"/>
        <item x="65"/>
        <item x="36"/>
        <item x="297"/>
        <item x="387"/>
        <item x="445"/>
        <item x="465"/>
        <item x="214"/>
        <item x="12"/>
        <item x="209"/>
        <item x="173"/>
        <item x="338"/>
        <item x="47"/>
        <item x="111"/>
        <item x="58"/>
        <item x="27"/>
        <item x="475"/>
        <item x="349"/>
        <item x="410"/>
        <item x="315"/>
        <item x="383"/>
        <item x="26"/>
        <item x="91"/>
        <item x="28"/>
        <item x="40"/>
        <item x="232"/>
        <item x="236"/>
        <item x="145"/>
        <item x="355"/>
        <item x="199"/>
        <item x="17"/>
        <item x="276"/>
        <item x="157"/>
        <item x="204"/>
        <item x="489"/>
        <item x="310"/>
        <item x="2"/>
        <item x="96"/>
        <item x="473"/>
        <item x="217"/>
        <item x="130"/>
        <item x="71"/>
        <item x="74"/>
        <item x="334"/>
        <item x="369"/>
        <item x="331"/>
        <item x="202"/>
        <item x="122"/>
        <item t="default"/>
      </items>
    </pivotField>
    <pivotField numFmtId="165" showAll="0"/>
    <pivotField numFmtId="165" showAll="0"/>
    <pivotField showAll="0"/>
  </pivotFields>
  <rowFields count="1">
    <field x="6"/>
  </rowFields>
  <rowItems count="2">
    <i>
      <x v="4"/>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L2:O4" firstHeaderRow="1" firstDataRow="2" firstDataCol="1"/>
  <pivotFields count="13">
    <pivotField showAll="0"/>
    <pivotField axis="axisCol" numFmtId="164" showAll="0">
      <items count="15">
        <item h="1" x="0"/>
        <item h="1" x="1"/>
        <item h="1" x="2"/>
        <item h="1" x="3"/>
        <item h="1" x="4"/>
        <item h="1" x="5"/>
        <item h="1" x="6"/>
        <item h="1" x="7"/>
        <item x="8"/>
        <item x="9"/>
        <item h="1" x="10"/>
        <item h="1" x="11"/>
        <item h="1" x="12"/>
        <item h="1" x="13"/>
        <item t="default"/>
      </items>
    </pivotField>
    <pivotField showAll="0"/>
    <pivotField showAll="0"/>
    <pivotField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dataField="1" numFmtId="165" showAll="0"/>
    <pivotField numFmtId="165" showAll="0"/>
    <pivotField numFmtId="165" showAll="0"/>
    <pivotField showAll="0"/>
  </pivotFields>
  <rowItems count="1">
    <i/>
  </rowItems>
  <colFields count="1">
    <field x="1"/>
  </colFields>
  <colItems count="3">
    <i>
      <x v="8"/>
    </i>
    <i>
      <x v="9"/>
    </i>
    <i t="grand">
      <x/>
    </i>
  </colItems>
  <dataFields count="1">
    <dataField name="Sum of Sales" fld="9"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F93:F95"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9">
        <item x="3"/>
        <item x="2"/>
        <item x="7"/>
        <item x="1"/>
        <item x="6"/>
        <item x="4"/>
        <item x="0"/>
        <item x="5"/>
        <item t="default"/>
      </items>
    </pivotField>
    <pivotField showAll="0"/>
    <pivotField axis="axisRow" showAll="0">
      <items count="6">
        <item h="1" x="4"/>
        <item h="1" x="0"/>
        <item h="1" x="3"/>
        <item h="1" x="2"/>
        <item x="1"/>
        <item t="default"/>
      </items>
    </pivotField>
    <pivotField showAll="0"/>
    <pivotField showAll="0"/>
    <pivotField numFmtId="165" showAll="0"/>
    <pivotField numFmtId="165" showAll="0"/>
    <pivotField numFmtId="165" showAll="0"/>
    <pivotField showAll="0"/>
  </pivotFields>
  <rowFields count="1">
    <field x="6"/>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55:D58" firstHeaderRow="1" firstDataRow="2" firstDataCol="1" rowPageCount="1" colPageCount="1"/>
  <pivotFields count="13">
    <pivotField showAll="0"/>
    <pivotField axis="axisCol" numFmtId="164" showAll="0">
      <items count="15">
        <item h="1" x="0"/>
        <item h="1" x="1"/>
        <item h="1" x="2"/>
        <item h="1" x="3"/>
        <item h="1" x="4"/>
        <item h="1" x="5"/>
        <item h="1" x="6"/>
        <item h="1" x="7"/>
        <item x="8"/>
        <item x="9"/>
        <item h="1" x="10"/>
        <item h="1" x="11"/>
        <item h="1" x="12"/>
        <item h="1" x="13"/>
        <item t="default"/>
      </items>
    </pivotField>
    <pivotField showAll="0"/>
    <pivotField showAll="0"/>
    <pivotField axis="axisPage" showAll="0">
      <items count="9">
        <item x="3"/>
        <item x="2"/>
        <item x="7"/>
        <item x="1"/>
        <item x="6"/>
        <item x="4"/>
        <item x="0"/>
        <item x="5"/>
        <item t="default"/>
      </items>
    </pivotField>
    <pivotField showAll="0"/>
    <pivotField axis="axisRow" showAll="0">
      <items count="6">
        <item h="1" x="4"/>
        <item h="1" x="0"/>
        <item h="1" x="3"/>
        <item h="1" x="2"/>
        <item x="1"/>
        <item t="default"/>
      </items>
    </pivotField>
    <pivotField showAll="0"/>
    <pivotField dataField="1" showAll="0"/>
    <pivotField numFmtId="165" showAll="0"/>
    <pivotField numFmtId="165" showAll="0"/>
    <pivotField numFmtId="165" showAll="0"/>
    <pivotField showAll="0"/>
  </pivotFields>
  <rowFields count="1">
    <field x="6"/>
  </rowFields>
  <rowItems count="2">
    <i>
      <x v="4"/>
    </i>
    <i t="grand">
      <x/>
    </i>
  </rowItems>
  <colFields count="1">
    <field x="1"/>
  </colFields>
  <colItems count="3">
    <i>
      <x v="8"/>
    </i>
    <i>
      <x v="9"/>
    </i>
    <i t="grand">
      <x/>
    </i>
  </colItems>
  <pageFields count="1">
    <pageField fld="4" hier="-1"/>
  </pageField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rowHeaderCaption="Order Status">
  <location ref="A73:D77" firstHeaderRow="1" firstDataRow="2" firstDataCol="1" rowPageCount="2" colPageCount="1"/>
  <pivotFields count="13">
    <pivotField showAll="0"/>
    <pivotField axis="axisCol" numFmtId="164" showAll="0">
      <items count="15">
        <item x="0"/>
        <item h="1" x="1"/>
        <item h="1" x="2"/>
        <item h="1" x="3"/>
        <item h="1" x="4"/>
        <item h="1" x="5"/>
        <item h="1" x="6"/>
        <item h="1" x="7"/>
        <item x="8"/>
        <item x="9"/>
        <item h="1" x="10"/>
        <item h="1" x="11"/>
        <item h="1" x="12"/>
        <item h="1" x="13"/>
        <item t="default"/>
      </items>
    </pivotField>
    <pivotField dataField="1" showAll="0"/>
    <pivotField showAll="0"/>
    <pivotField axis="axisPage" showAll="0">
      <items count="9">
        <item x="3"/>
        <item x="2"/>
        <item x="7"/>
        <item x="1"/>
        <item x="6"/>
        <item x="4"/>
        <item x="0"/>
        <item x="5"/>
        <item t="default"/>
      </items>
    </pivotField>
    <pivotField showAll="0"/>
    <pivotField axis="axisPage" showAll="0">
      <items count="6">
        <item x="4"/>
        <item x="0"/>
        <item x="3"/>
        <item x="2"/>
        <item x="1"/>
        <item t="default"/>
      </items>
    </pivotField>
    <pivotField showAll="0"/>
    <pivotField showAll="0"/>
    <pivotField numFmtId="165" showAll="0"/>
    <pivotField numFmtId="165" showAll="0"/>
    <pivotField numFmtId="165" showAll="0"/>
    <pivotField axis="axisRow" showAll="0">
      <items count="3">
        <item x="1"/>
        <item x="0"/>
        <item t="default"/>
      </items>
    </pivotField>
  </pivotFields>
  <rowFields count="1">
    <field x="12"/>
  </rowFields>
  <rowItems count="3">
    <i>
      <x/>
    </i>
    <i>
      <x v="1"/>
    </i>
    <i t="grand">
      <x/>
    </i>
  </rowItems>
  <colFields count="1">
    <field x="1"/>
  </colFields>
  <colItems count="3">
    <i>
      <x v="8"/>
    </i>
    <i>
      <x v="9"/>
    </i>
    <i t="grand">
      <x/>
    </i>
  </colItems>
  <pageFields count="2">
    <pageField fld="6" item="4" hier="-1"/>
    <pageField fld="4" hier="-1"/>
  </pageField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2:B15" firstHeaderRow="1" firstDataRow="1" firstDataCol="1"/>
  <pivotFields count="13">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dataField="1" numFmtId="165" showAll="0"/>
    <pivotField numFmtId="165" showAll="0"/>
    <pivotField numFmtId="165" showAll="0"/>
    <pivotField showAll="0"/>
  </pivotFields>
  <rowFields count="1">
    <field x="1"/>
  </rowFields>
  <rowItems count="13">
    <i>
      <x v="1"/>
    </i>
    <i>
      <x v="2"/>
    </i>
    <i>
      <x v="3"/>
    </i>
    <i>
      <x v="4"/>
    </i>
    <i>
      <x v="5"/>
    </i>
    <i>
      <x v="6"/>
    </i>
    <i>
      <x v="7"/>
    </i>
    <i>
      <x v="8"/>
    </i>
    <i>
      <x v="9"/>
    </i>
    <i>
      <x v="10"/>
    </i>
    <i>
      <x v="11"/>
    </i>
    <i>
      <x v="1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2">
  <location ref="B115:C128" firstHeaderRow="1" firstDataRow="1" firstDataCol="1" rowPageCount="3" colPageCount="1"/>
  <pivotFields count="13">
    <pivotField showAll="0"/>
    <pivotField axis="axisRow" numFmtId="164" showAll="0">
      <items count="15">
        <item x="0"/>
        <item x="1"/>
        <item x="2"/>
        <item x="3"/>
        <item x="4"/>
        <item x="5"/>
        <item x="6"/>
        <item x="7"/>
        <item x="8"/>
        <item x="9"/>
        <item x="10"/>
        <item x="11"/>
        <item x="12"/>
        <item x="13"/>
        <item t="default"/>
      </items>
    </pivotField>
    <pivotField showAll="0"/>
    <pivotField showAll="0"/>
    <pivotField axis="axisPage" showAll="0">
      <items count="9">
        <item x="3"/>
        <item x="2"/>
        <item x="7"/>
        <item x="1"/>
        <item x="6"/>
        <item x="4"/>
        <item x="0"/>
        <item x="5"/>
        <item t="default"/>
      </items>
    </pivotField>
    <pivotField axis="axisPage" showAll="0">
      <items count="4">
        <item x="2"/>
        <item x="0"/>
        <item x="1"/>
        <item t="default"/>
      </items>
    </pivotField>
    <pivotField axis="axisPage" showAll="0">
      <items count="6">
        <item x="4"/>
        <item x="0"/>
        <item x="3"/>
        <item x="2"/>
        <item x="1"/>
        <item t="default"/>
      </items>
    </pivotField>
    <pivotField showAll="0"/>
    <pivotField showAll="0"/>
    <pivotField dataField="1" numFmtId="165" showAll="0"/>
    <pivotField numFmtId="165" showAll="0"/>
    <pivotField numFmtId="165" showAll="0"/>
    <pivotField showAll="0"/>
  </pivotFields>
  <rowFields count="1">
    <field x="1"/>
  </rowFields>
  <rowItems count="13">
    <i>
      <x v="1"/>
    </i>
    <i>
      <x v="2"/>
    </i>
    <i>
      <x v="3"/>
    </i>
    <i>
      <x v="4"/>
    </i>
    <i>
      <x v="5"/>
    </i>
    <i>
      <x v="6"/>
    </i>
    <i>
      <x v="7"/>
    </i>
    <i>
      <x v="8"/>
    </i>
    <i>
      <x v="9"/>
    </i>
    <i>
      <x v="10"/>
    </i>
    <i>
      <x v="11"/>
    </i>
    <i>
      <x v="12"/>
    </i>
    <i t="grand">
      <x/>
    </i>
  </rowItems>
  <colItems count="1">
    <i/>
  </colItems>
  <pageFields count="3">
    <pageField fld="6" item="4" hier="-1"/>
    <pageField fld="4" hier="-1"/>
    <pageField fld="5" hier="-1"/>
  </pageField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6" rowHeaderCaption="Product" colHeaderCaption="Month">
  <location ref="A18:D27" firstHeaderRow="1" firstDataRow="2" firstDataCol="1"/>
  <pivotFields count="13">
    <pivotField showAll="0"/>
    <pivotField axis="axisCol" numFmtId="164" showAll="0">
      <items count="15">
        <item h="1" x="0"/>
        <item h="1" x="1"/>
        <item h="1" x="2"/>
        <item h="1" x="3"/>
        <item h="1" x="4"/>
        <item h="1" x="5"/>
        <item h="1" x="6"/>
        <item h="1" x="7"/>
        <item x="8"/>
        <item x="9"/>
        <item h="1" x="10"/>
        <item h="1" x="11"/>
        <item h="1" x="12"/>
        <item h="1" x="13"/>
        <item t="default"/>
      </items>
    </pivotField>
    <pivotField showAll="0"/>
    <pivotField showAll="0"/>
    <pivotField axis="axisRow"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dataField="1" numFmtId="165" showAll="0"/>
    <pivotField numFmtId="165" showAll="0"/>
    <pivotField numFmtId="165" showAll="0"/>
    <pivotField showAll="0"/>
  </pivotFields>
  <rowFields count="1">
    <field x="4"/>
  </rowFields>
  <rowItems count="8">
    <i>
      <x v="1"/>
    </i>
    <i>
      <x v="2"/>
    </i>
    <i>
      <x v="3"/>
    </i>
    <i>
      <x v="4"/>
    </i>
    <i>
      <x v="5"/>
    </i>
    <i>
      <x v="6"/>
    </i>
    <i>
      <x v="7"/>
    </i>
    <i t="grand">
      <x/>
    </i>
  </rowItems>
  <colFields count="1">
    <field x="1"/>
  </colFields>
  <colItems count="3">
    <i>
      <x v="8"/>
    </i>
    <i>
      <x v="9"/>
    </i>
    <i t="grand">
      <x/>
    </i>
  </colItems>
  <dataFields count="1">
    <dataField name="Sum of Sales" fld="9" baseField="0" baseItem="0"/>
  </dataFields>
  <chartFormats count="8">
    <chartFormat chart="0" format="0" series="1">
      <pivotArea type="data" outline="0" fieldPosition="0">
        <references count="2">
          <reference field="4294967294" count="1" selected="0">
            <x v="0"/>
          </reference>
          <reference field="1" count="1" selected="0">
            <x v="8"/>
          </reference>
        </references>
      </pivotArea>
    </chartFormat>
    <chartFormat chart="0" format="1" series="1">
      <pivotArea type="data" outline="0" fieldPosition="0">
        <references count="2">
          <reference field="4294967294" count="1" selected="0">
            <x v="0"/>
          </reference>
          <reference field="1" count="1" selected="0">
            <x v="9"/>
          </reference>
        </references>
      </pivotArea>
    </chartFormat>
    <chartFormat chart="3" format="2" series="1">
      <pivotArea type="data" outline="0" fieldPosition="0">
        <references count="2">
          <reference field="4294967294" count="1" selected="0">
            <x v="0"/>
          </reference>
          <reference field="1" count="1" selected="0">
            <x v="8"/>
          </reference>
        </references>
      </pivotArea>
    </chartFormat>
    <chartFormat chart="3" format="3" series="1">
      <pivotArea type="data" outline="0" fieldPosition="0">
        <references count="2">
          <reference field="4294967294" count="1" selected="0">
            <x v="0"/>
          </reference>
          <reference field="1" count="1" selected="0">
            <x v="9"/>
          </reference>
        </references>
      </pivotArea>
    </chartFormat>
    <chartFormat chart="4" format="4" series="1">
      <pivotArea type="data" outline="0" fieldPosition="0">
        <references count="2">
          <reference field="4294967294" count="1" selected="0">
            <x v="0"/>
          </reference>
          <reference field="1" count="1" selected="0">
            <x v="8"/>
          </reference>
        </references>
      </pivotArea>
    </chartFormat>
    <chartFormat chart="4" format="5" series="1">
      <pivotArea type="data" outline="0" fieldPosition="0">
        <references count="2">
          <reference field="4294967294" count="1" selected="0">
            <x v="0"/>
          </reference>
          <reference field="1" count="1" selected="0">
            <x v="9"/>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O12:P14" firstHeaderRow="1" firstDataRow="1" firstDataCol="1"/>
  <pivotFields count="13">
    <pivotField showAll="0"/>
    <pivotField axis="axisRow" numFmtId="164" showAll="0">
      <items count="15">
        <item h="1" x="0"/>
        <item h="1" x="1"/>
        <item h="1" x="2"/>
        <item h="1" x="3"/>
        <item h="1" x="4"/>
        <item h="1" x="5"/>
        <item h="1" x="6"/>
        <item h="1" x="7"/>
        <item x="8"/>
        <item h="1" x="9"/>
        <item h="1" x="10"/>
        <item h="1" x="11"/>
        <item h="1" x="12"/>
        <item h="1" x="13"/>
        <item t="default"/>
      </items>
    </pivotField>
    <pivotField showAll="0"/>
    <pivotField showAll="0"/>
    <pivotField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dataField="1" numFmtId="165" showAll="0"/>
    <pivotField numFmtId="165" showAll="0"/>
    <pivotField numFmtId="165" showAll="0"/>
    <pivotField showAll="0"/>
  </pivotFields>
  <rowFields count="1">
    <field x="1"/>
  </rowFields>
  <rowItems count="2">
    <i>
      <x v="8"/>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O9:O10" firstHeaderRow="1" firstDataRow="1" firstDataCol="0"/>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numFmtId="165" showAll="0"/>
    <pivotField numFmtId="165" showAll="0"/>
    <pivotField dataField="1" numFmtId="165" showAll="0"/>
    <pivotField showAl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P16:Q18" firstHeaderRow="1" firstDataRow="1" firstDataCol="1"/>
  <pivotFields count="13">
    <pivotField showAll="0"/>
    <pivotField axis="axisRow" numFmtId="164" showAll="0">
      <items count="15">
        <item h="1" x="0"/>
        <item h="1" x="1"/>
        <item h="1" x="2"/>
        <item h="1" x="3"/>
        <item h="1" x="4"/>
        <item h="1" x="5"/>
        <item h="1" x="6"/>
        <item h="1" x="7"/>
        <item h="1" x="8"/>
        <item x="9"/>
        <item h="1" x="10"/>
        <item h="1" x="11"/>
        <item h="1" x="12"/>
        <item h="1" x="13"/>
        <item t="default"/>
      </items>
    </pivotField>
    <pivotField showAll="0"/>
    <pivotField showAll="0"/>
    <pivotField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dataField="1" numFmtId="165" showAll="0"/>
    <pivotField numFmtId="165" showAll="0"/>
    <pivotField numFmtId="165" showAll="0"/>
    <pivotField showAll="0"/>
  </pivotFields>
  <rowFields count="1">
    <field x="1"/>
  </rowFields>
  <rowItems count="2">
    <i>
      <x v="9"/>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rowHeaderCaption="Customer type">
  <location ref="A64:D68" firstHeaderRow="1" firstDataRow="2" firstDataCol="1" rowPageCount="2" colPageCount="1"/>
  <pivotFields count="13">
    <pivotField showAll="0"/>
    <pivotField axis="axisCol" numFmtId="164" showAll="0">
      <items count="15">
        <item h="1" x="0"/>
        <item h="1" x="1"/>
        <item h="1" x="2"/>
        <item h="1" x="3"/>
        <item h="1" x="4"/>
        <item h="1" x="5"/>
        <item h="1" x="6"/>
        <item h="1" x="7"/>
        <item x="8"/>
        <item x="9"/>
        <item h="1" x="10"/>
        <item h="1" x="11"/>
        <item h="1" x="12"/>
        <item h="1" x="13"/>
        <item t="default"/>
      </items>
    </pivotField>
    <pivotField showAll="0"/>
    <pivotField axis="axisRow" showAll="0">
      <items count="3">
        <item x="1"/>
        <item x="0"/>
        <item t="default"/>
      </items>
    </pivotField>
    <pivotField axis="axisPage" showAll="0">
      <items count="9">
        <item x="3"/>
        <item x="2"/>
        <item x="7"/>
        <item x="1"/>
        <item x="6"/>
        <item x="4"/>
        <item x="0"/>
        <item x="5"/>
        <item t="default"/>
      </items>
    </pivotField>
    <pivotField showAll="0"/>
    <pivotField axis="axisPage" showAll="0">
      <items count="6">
        <item x="4"/>
        <item x="0"/>
        <item x="3"/>
        <item x="2"/>
        <item x="1"/>
        <item t="default"/>
      </items>
    </pivotField>
    <pivotField showAll="0"/>
    <pivotField dataField="1" showAll="0"/>
    <pivotField numFmtId="165" showAll="0"/>
    <pivotField numFmtId="165" showAll="0"/>
    <pivotField numFmtId="165" showAll="0"/>
    <pivotField showAll="0"/>
  </pivotFields>
  <rowFields count="1">
    <field x="3"/>
  </rowFields>
  <rowItems count="3">
    <i>
      <x/>
    </i>
    <i>
      <x v="1"/>
    </i>
    <i t="grand">
      <x/>
    </i>
  </rowItems>
  <colFields count="1">
    <field x="1"/>
  </colFields>
  <colItems count="3">
    <i>
      <x v="8"/>
    </i>
    <i>
      <x v="9"/>
    </i>
    <i t="grand">
      <x/>
    </i>
  </colItems>
  <pageFields count="2">
    <pageField fld="4" hier="-1"/>
    <pageField fld="6" item="4" hier="-1"/>
  </pageField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9">
  <location ref="A79:B81"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9">
        <item x="3"/>
        <item x="2"/>
        <item x="7"/>
        <item x="1"/>
        <item x="6"/>
        <item x="4"/>
        <item x="0"/>
        <item x="5"/>
        <item t="default"/>
      </items>
    </pivotField>
    <pivotField showAll="0"/>
    <pivotField axis="axisRow" showAll="0">
      <items count="6">
        <item h="1" x="4"/>
        <item h="1" x="0"/>
        <item h="1" x="3"/>
        <item h="1" x="2"/>
        <item x="1"/>
        <item t="default"/>
      </items>
    </pivotField>
    <pivotField showAll="0">
      <items count="7">
        <item x="3"/>
        <item x="2"/>
        <item x="5"/>
        <item x="1"/>
        <item x="0"/>
        <item x="4"/>
        <item t="default"/>
      </items>
    </pivotField>
    <pivotField showAll="0"/>
    <pivotField dataField="1" numFmtId="165" showAll="0"/>
    <pivotField numFmtId="165" showAll="0"/>
    <pivotField numFmtId="165" showAll="0"/>
    <pivotField showAll="0"/>
  </pivotFields>
  <rowFields count="1">
    <field x="6"/>
  </rowFields>
  <rowItems count="2">
    <i>
      <x v="4"/>
    </i>
    <i t="grand">
      <x/>
    </i>
  </rowItems>
  <colItems count="1">
    <i/>
  </colItems>
  <dataFields count="1">
    <dataField name="Sum of Sales" fld="9" baseField="0" baseItem="0"/>
  </dataFields>
  <chartFormats count="2">
    <chartFormat chart="2" format="18" series="1">
      <pivotArea type="data" outline="0" fieldPosition="0">
        <references count="1">
          <reference field="4294967294" count="1" selected="0">
            <x v="0"/>
          </reference>
        </references>
      </pivotArea>
    </chartFormat>
    <chartFormat chart="0" format="3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E125:F134"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items count="9">
        <item x="3"/>
        <item x="2"/>
        <item x="7"/>
        <item x="1"/>
        <item x="6"/>
        <item x="4"/>
        <item x="0"/>
        <item x="5"/>
        <item t="default"/>
      </items>
    </pivotField>
    <pivotField showAll="0"/>
    <pivotField showAll="0">
      <items count="6">
        <item h="1" x="4"/>
        <item h="1" x="0"/>
        <item h="1" x="3"/>
        <item h="1" x="2"/>
        <item x="1"/>
        <item t="default"/>
      </items>
    </pivotField>
    <pivotField showAll="0"/>
    <pivotField showAll="0"/>
    <pivotField dataField="1" numFmtId="165" showAll="0"/>
    <pivotField numFmtId="165" showAll="0"/>
    <pivotField numFmtId="165" showAll="0"/>
    <pivotField showAll="0"/>
  </pivotFields>
  <rowFields count="1">
    <field x="4"/>
  </rowFields>
  <rowItems count="9">
    <i>
      <x/>
    </i>
    <i>
      <x v="1"/>
    </i>
    <i>
      <x v="2"/>
    </i>
    <i>
      <x v="3"/>
    </i>
    <i>
      <x v="4"/>
    </i>
    <i>
      <x v="5"/>
    </i>
    <i>
      <x v="6"/>
    </i>
    <i>
      <x v="7"/>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2"/>
    <pivotTable tabId="3" name="PivotTable4"/>
    <pivotTable tabId="3" name="PivotTable5"/>
    <pivotTable tabId="3" name="PivotTable6"/>
    <pivotTable tabId="3" name="PivotTable7"/>
    <pivotTable tabId="3" name="PivotTable8"/>
    <pivotTable tabId="3" name="PivotTable9"/>
  </pivotTables>
  <data>
    <tabular pivotCacheId="1">
      <items count="5">
        <i x="4"/>
        <i x="0"/>
        <i x="3"/>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2"/>
    <pivotTable tabId="3" name="PivotTable3"/>
    <pivotTable tabId="3" name="PivotTable5"/>
    <pivotTable tabId="3" name="PivotTable6"/>
    <pivotTable tabId="3" name="PivotTable7"/>
    <pivotTable tabId="3" name="PivotTable8"/>
    <pivotTable tabId="3" name="PivotTable9"/>
  </pivotTables>
  <data>
    <tabular pivotCacheId="1">
      <items count="8">
        <i x="3" s="1"/>
        <i x="2" s="1"/>
        <i x="7" s="1"/>
        <i x="1" s="1"/>
        <i x="6" s="1"/>
        <i x="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3" style="SlicerStyleDark6" rowHeight="241300"/>
  <slicer name="Product" cache="Slicer_Product" caption="Product" columnCount="8"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2" cache="Slicer_Region" caption="Region" columnCount="5" style="SlicerStyleDark6" rowHeight="241300"/>
  <slicer name="Product 2" cache="Slicer_Product" caption="Product" columnCount="8"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3" name="PivotTable2"/>
    <pivotTable tabId="3" name="PivotTable3"/>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0"/>
    <pivotTable tabId="3" name="PivotTable22"/>
    <pivotTable tabId="3" name="PivotTable5"/>
    <pivotTable tabId="3" name="PivotTable6"/>
    <pivotTable tabId="3" name="PivotTable7"/>
    <pivotTable tabId="3" name="PivotTable8"/>
    <pivotTable tabId="3" name="PivotTable9"/>
  </pivotTables>
  <state minimalRefreshVersion="6" lastRefreshVersion="6" pivotCacheId="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showSelectionLabel="0" showTimeLevel="0" showHorizontalScrollbar="0" level="2" selectionLevel="2" scrollPosition="2025-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2" cache="NativeTimeline_Date" caption="Date" showSelectionLabel="0" showTimeLevel="0" showHorizontalScrollbar="0" level="2" selectionLevel="2" scrollPosition="2025-01-01T00:00:00" style="TimeSlicerStyleDark6"/>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11/relationships/timeline" Target="../timelines/timeline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1"/>
  <sheetViews>
    <sheetView workbookViewId="0">
      <selection activeCell="O8" sqref="O8"/>
    </sheetView>
  </sheetViews>
  <sheetFormatPr defaultRowHeight="15"/>
  <cols>
    <col min="1" max="1" width="9.140625" style="1"/>
    <col min="2" max="2" width="12.140625" style="1" bestFit="1" customWidth="1"/>
    <col min="3" max="9" width="9.140625" style="1"/>
    <col min="10" max="11" width="12.5703125" style="1" bestFit="1" customWidth="1"/>
    <col min="12" max="12" width="12.28515625" style="1" bestFit="1" customWidth="1"/>
    <col min="13" max="16384" width="9.140625" style="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s="1" t="s">
        <v>13</v>
      </c>
      <c r="B2" s="3">
        <v>45985</v>
      </c>
      <c r="C2" s="1" t="s">
        <v>14</v>
      </c>
      <c r="D2" s="1" t="s">
        <v>15</v>
      </c>
      <c r="E2" s="1" t="s">
        <v>16</v>
      </c>
      <c r="F2" s="1" t="s">
        <v>17</v>
      </c>
      <c r="G2" s="1" t="s">
        <v>18</v>
      </c>
      <c r="H2" s="1" t="s">
        <v>19</v>
      </c>
      <c r="I2" s="1">
        <v>1</v>
      </c>
      <c r="J2" s="4">
        <v>14142000</v>
      </c>
      <c r="K2" s="4">
        <v>13924000</v>
      </c>
      <c r="L2" s="4">
        <v>218000</v>
      </c>
      <c r="M2" s="1" t="s">
        <v>20</v>
      </c>
    </row>
    <row r="3" spans="1:13">
      <c r="A3" s="1" t="s">
        <v>21</v>
      </c>
      <c r="B3" s="3">
        <v>45874</v>
      </c>
      <c r="C3" s="1" t="s">
        <v>22</v>
      </c>
      <c r="D3" s="1" t="s">
        <v>23</v>
      </c>
      <c r="E3" s="1" t="s">
        <v>16</v>
      </c>
      <c r="F3" s="1" t="s">
        <v>17</v>
      </c>
      <c r="G3" s="1" t="s">
        <v>24</v>
      </c>
      <c r="H3" s="1" t="s">
        <v>25</v>
      </c>
      <c r="I3" s="1">
        <v>1</v>
      </c>
      <c r="J3" s="4">
        <v>18329000</v>
      </c>
      <c r="K3" s="4">
        <v>14589000</v>
      </c>
      <c r="L3" s="4">
        <v>3740000</v>
      </c>
      <c r="M3" s="1" t="s">
        <v>20</v>
      </c>
    </row>
    <row r="4" spans="1:13">
      <c r="A4" s="1" t="s">
        <v>26</v>
      </c>
      <c r="B4" s="3">
        <v>45770</v>
      </c>
      <c r="C4" s="1" t="s">
        <v>27</v>
      </c>
      <c r="D4" s="1" t="s">
        <v>23</v>
      </c>
      <c r="E4" s="1" t="s">
        <v>28</v>
      </c>
      <c r="F4" s="1" t="s">
        <v>29</v>
      </c>
      <c r="G4" s="1" t="s">
        <v>30</v>
      </c>
      <c r="H4" s="1" t="s">
        <v>31</v>
      </c>
      <c r="I4" s="1">
        <v>2</v>
      </c>
      <c r="J4" s="4">
        <v>108019000</v>
      </c>
      <c r="K4" s="4">
        <v>84039000</v>
      </c>
      <c r="L4" s="4">
        <v>23980000</v>
      </c>
      <c r="M4" s="1" t="s">
        <v>20</v>
      </c>
    </row>
    <row r="5" spans="1:13">
      <c r="A5" s="1" t="s">
        <v>32</v>
      </c>
      <c r="B5" s="3">
        <v>45830</v>
      </c>
      <c r="C5" s="1" t="s">
        <v>33</v>
      </c>
      <c r="D5" s="1" t="s">
        <v>23</v>
      </c>
      <c r="E5" s="1" t="s">
        <v>16</v>
      </c>
      <c r="F5" s="1" t="s">
        <v>17</v>
      </c>
      <c r="G5" s="1" t="s">
        <v>24</v>
      </c>
      <c r="H5" s="1" t="s">
        <v>34</v>
      </c>
      <c r="I5" s="1">
        <v>1</v>
      </c>
      <c r="J5" s="4">
        <v>12762000</v>
      </c>
      <c r="K5" s="4">
        <v>14159000</v>
      </c>
      <c r="L5" s="4">
        <v>-1397000</v>
      </c>
      <c r="M5" s="1" t="s">
        <v>20</v>
      </c>
    </row>
    <row r="6" spans="1:13">
      <c r="A6" s="1" t="s">
        <v>35</v>
      </c>
      <c r="B6" s="3">
        <v>45851</v>
      </c>
      <c r="C6" s="1" t="s">
        <v>36</v>
      </c>
      <c r="D6" s="1" t="s">
        <v>23</v>
      </c>
      <c r="E6" s="1" t="s">
        <v>16</v>
      </c>
      <c r="F6" s="1" t="s">
        <v>17</v>
      </c>
      <c r="G6" s="1" t="s">
        <v>18</v>
      </c>
      <c r="H6" s="1" t="s">
        <v>37</v>
      </c>
      <c r="I6" s="1">
        <v>1</v>
      </c>
      <c r="J6" s="4">
        <v>18992000</v>
      </c>
      <c r="K6" s="4">
        <v>14299000</v>
      </c>
      <c r="L6" s="4">
        <v>4693000</v>
      </c>
      <c r="M6" s="1" t="s">
        <v>20</v>
      </c>
    </row>
    <row r="7" spans="1:13">
      <c r="A7" s="1" t="s">
        <v>38</v>
      </c>
      <c r="B7" s="3">
        <v>45774</v>
      </c>
      <c r="C7" s="1" t="s">
        <v>39</v>
      </c>
      <c r="D7" s="1" t="s">
        <v>15</v>
      </c>
      <c r="E7" s="1" t="s">
        <v>40</v>
      </c>
      <c r="F7" s="1" t="s">
        <v>29</v>
      </c>
      <c r="G7" s="1" t="s">
        <v>41</v>
      </c>
      <c r="H7" s="1" t="s">
        <v>31</v>
      </c>
      <c r="I7" s="1">
        <v>2</v>
      </c>
      <c r="J7" s="4">
        <v>50527000</v>
      </c>
      <c r="K7" s="4">
        <v>39125000</v>
      </c>
      <c r="L7" s="4">
        <v>11402000</v>
      </c>
      <c r="M7" s="1" t="s">
        <v>20</v>
      </c>
    </row>
    <row r="8" spans="1:13">
      <c r="A8" s="1" t="s">
        <v>42</v>
      </c>
      <c r="B8" s="3">
        <v>45847</v>
      </c>
      <c r="C8" s="1" t="s">
        <v>43</v>
      </c>
      <c r="D8" s="1" t="s">
        <v>15</v>
      </c>
      <c r="E8" s="1" t="s">
        <v>44</v>
      </c>
      <c r="F8" s="1" t="s">
        <v>17</v>
      </c>
      <c r="G8" s="1" t="s">
        <v>30</v>
      </c>
      <c r="H8" s="1" t="s">
        <v>31</v>
      </c>
      <c r="I8" s="1">
        <v>1</v>
      </c>
      <c r="J8" s="4">
        <v>27265000</v>
      </c>
      <c r="K8" s="4">
        <v>20866000</v>
      </c>
      <c r="L8" s="4">
        <v>6399000</v>
      </c>
      <c r="M8" s="1" t="s">
        <v>20</v>
      </c>
    </row>
    <row r="9" spans="1:13">
      <c r="A9" s="1" t="s">
        <v>45</v>
      </c>
      <c r="B9" s="3">
        <v>45894</v>
      </c>
      <c r="C9" s="1" t="s">
        <v>46</v>
      </c>
      <c r="D9" s="1" t="s">
        <v>15</v>
      </c>
      <c r="E9" s="1" t="s">
        <v>44</v>
      </c>
      <c r="F9" s="1" t="s">
        <v>17</v>
      </c>
      <c r="G9" s="1" t="s">
        <v>18</v>
      </c>
      <c r="H9" s="1" t="s">
        <v>31</v>
      </c>
      <c r="I9" s="1">
        <v>1</v>
      </c>
      <c r="J9" s="4">
        <v>26829000</v>
      </c>
      <c r="K9" s="4">
        <v>22202000</v>
      </c>
      <c r="L9" s="4">
        <v>4627000</v>
      </c>
      <c r="M9" s="1" t="s">
        <v>20</v>
      </c>
    </row>
    <row r="10" spans="1:13">
      <c r="A10" s="1" t="s">
        <v>47</v>
      </c>
      <c r="B10" s="3">
        <v>45674</v>
      </c>
      <c r="C10" s="1" t="s">
        <v>48</v>
      </c>
      <c r="D10" s="1" t="s">
        <v>23</v>
      </c>
      <c r="E10" s="1" t="s">
        <v>40</v>
      </c>
      <c r="F10" s="1" t="s">
        <v>29</v>
      </c>
      <c r="G10" s="1" t="s">
        <v>49</v>
      </c>
      <c r="H10" s="1" t="s">
        <v>25</v>
      </c>
      <c r="I10" s="1">
        <v>1</v>
      </c>
      <c r="J10" s="4">
        <v>25409000</v>
      </c>
      <c r="K10" s="4">
        <v>19933000</v>
      </c>
      <c r="L10" s="4">
        <v>5476000</v>
      </c>
      <c r="M10" s="1" t="s">
        <v>20</v>
      </c>
    </row>
    <row r="11" spans="1:13">
      <c r="A11" s="1" t="s">
        <v>50</v>
      </c>
      <c r="B11" s="3">
        <v>45987</v>
      </c>
      <c r="C11" s="1" t="s">
        <v>51</v>
      </c>
      <c r="D11" s="1" t="s">
        <v>23</v>
      </c>
      <c r="E11" s="1" t="s">
        <v>28</v>
      </c>
      <c r="F11" s="1" t="s">
        <v>29</v>
      </c>
      <c r="G11" s="1" t="s">
        <v>24</v>
      </c>
      <c r="H11" s="1" t="s">
        <v>25</v>
      </c>
      <c r="I11" s="1">
        <v>1</v>
      </c>
      <c r="J11" s="4">
        <v>43193000</v>
      </c>
      <c r="K11" s="4">
        <v>42468000</v>
      </c>
      <c r="L11" s="4">
        <v>725000</v>
      </c>
      <c r="M11" s="1" t="s">
        <v>20</v>
      </c>
    </row>
    <row r="12" spans="1:13">
      <c r="A12" s="1" t="s">
        <v>52</v>
      </c>
      <c r="B12" s="3">
        <v>45843</v>
      </c>
      <c r="C12" s="1" t="s">
        <v>53</v>
      </c>
      <c r="D12" s="1" t="s">
        <v>15</v>
      </c>
      <c r="E12" s="1" t="s">
        <v>54</v>
      </c>
      <c r="F12" s="1" t="s">
        <v>17</v>
      </c>
      <c r="G12" s="1" t="s">
        <v>30</v>
      </c>
      <c r="H12" s="1" t="s">
        <v>37</v>
      </c>
      <c r="I12" s="1">
        <v>1</v>
      </c>
      <c r="J12" s="4">
        <v>27127000</v>
      </c>
      <c r="K12" s="4">
        <v>22149000</v>
      </c>
      <c r="L12" s="4">
        <v>4978000</v>
      </c>
      <c r="M12" s="1" t="s">
        <v>20</v>
      </c>
    </row>
    <row r="13" spans="1:13">
      <c r="A13" s="1" t="s">
        <v>55</v>
      </c>
      <c r="B13" s="3">
        <v>45874</v>
      </c>
      <c r="C13" s="1" t="s">
        <v>56</v>
      </c>
      <c r="D13" s="1" t="s">
        <v>23</v>
      </c>
      <c r="E13" s="1" t="s">
        <v>57</v>
      </c>
      <c r="F13" s="1" t="s">
        <v>29</v>
      </c>
      <c r="G13" s="1" t="s">
        <v>18</v>
      </c>
      <c r="H13" s="1" t="s">
        <v>37</v>
      </c>
      <c r="I13" s="1">
        <v>1</v>
      </c>
      <c r="J13" s="4">
        <v>43036000</v>
      </c>
      <c r="K13" s="4">
        <v>34618000</v>
      </c>
      <c r="L13" s="4">
        <v>8418000</v>
      </c>
      <c r="M13" s="1" t="s">
        <v>20</v>
      </c>
    </row>
    <row r="14" spans="1:13">
      <c r="A14" s="1" t="s">
        <v>58</v>
      </c>
      <c r="B14" s="3">
        <v>45716</v>
      </c>
      <c r="C14" s="1" t="s">
        <v>59</v>
      </c>
      <c r="D14" s="1" t="s">
        <v>23</v>
      </c>
      <c r="E14" s="1" t="s">
        <v>60</v>
      </c>
      <c r="F14" s="1" t="s">
        <v>61</v>
      </c>
      <c r="G14" s="1" t="s">
        <v>18</v>
      </c>
      <c r="H14" s="1" t="s">
        <v>37</v>
      </c>
      <c r="I14" s="1">
        <v>1</v>
      </c>
      <c r="J14" s="4">
        <v>62423000</v>
      </c>
      <c r="K14" s="4">
        <v>48538000</v>
      </c>
      <c r="L14" s="4">
        <v>13885000</v>
      </c>
      <c r="M14" s="1" t="s">
        <v>20</v>
      </c>
    </row>
    <row r="15" spans="1:13">
      <c r="A15" s="1" t="s">
        <v>62</v>
      </c>
      <c r="B15" s="3">
        <v>45792</v>
      </c>
      <c r="C15" s="1" t="s">
        <v>63</v>
      </c>
      <c r="D15" s="1" t="s">
        <v>15</v>
      </c>
      <c r="E15" s="1" t="s">
        <v>64</v>
      </c>
      <c r="F15" s="1" t="s">
        <v>29</v>
      </c>
      <c r="G15" s="1" t="s">
        <v>24</v>
      </c>
      <c r="H15" s="1" t="s">
        <v>31</v>
      </c>
      <c r="I15" s="1">
        <v>1</v>
      </c>
      <c r="J15" s="4">
        <v>20984000</v>
      </c>
      <c r="K15" s="4">
        <v>18529000</v>
      </c>
      <c r="L15" s="4">
        <v>2455000</v>
      </c>
      <c r="M15" s="1" t="s">
        <v>20</v>
      </c>
    </row>
    <row r="16" spans="1:13">
      <c r="A16" s="1" t="s">
        <v>65</v>
      </c>
      <c r="B16" s="3">
        <v>45736</v>
      </c>
      <c r="C16" s="1" t="s">
        <v>66</v>
      </c>
      <c r="D16" s="1" t="s">
        <v>23</v>
      </c>
      <c r="E16" s="1" t="s">
        <v>44</v>
      </c>
      <c r="F16" s="1" t="s">
        <v>17</v>
      </c>
      <c r="G16" s="1" t="s">
        <v>18</v>
      </c>
      <c r="H16" s="1" t="s">
        <v>34</v>
      </c>
      <c r="I16" s="1">
        <v>2</v>
      </c>
      <c r="J16" s="4">
        <v>56176000</v>
      </c>
      <c r="K16" s="4">
        <v>45425000</v>
      </c>
      <c r="L16" s="4">
        <v>10751000</v>
      </c>
      <c r="M16" s="1" t="s">
        <v>20</v>
      </c>
    </row>
    <row r="17" spans="1:13">
      <c r="A17" s="1" t="s">
        <v>67</v>
      </c>
      <c r="B17" s="3">
        <v>45843</v>
      </c>
      <c r="C17" s="1" t="s">
        <v>68</v>
      </c>
      <c r="D17" s="1" t="s">
        <v>15</v>
      </c>
      <c r="E17" s="1" t="s">
        <v>64</v>
      </c>
      <c r="F17" s="1" t="s">
        <v>29</v>
      </c>
      <c r="G17" s="1" t="s">
        <v>49</v>
      </c>
      <c r="H17" s="1" t="s">
        <v>34</v>
      </c>
      <c r="I17" s="1">
        <v>1</v>
      </c>
      <c r="J17" s="4">
        <v>20846000</v>
      </c>
      <c r="K17" s="4">
        <v>18992000</v>
      </c>
      <c r="L17" s="4">
        <v>1854000</v>
      </c>
      <c r="M17" s="1" t="s">
        <v>69</v>
      </c>
    </row>
    <row r="18" spans="1:13">
      <c r="A18" s="1" t="s">
        <v>70</v>
      </c>
      <c r="B18" s="3">
        <v>45930</v>
      </c>
      <c r="C18" s="1" t="s">
        <v>71</v>
      </c>
      <c r="D18" s="1" t="s">
        <v>23</v>
      </c>
      <c r="E18" s="1" t="s">
        <v>40</v>
      </c>
      <c r="F18" s="1" t="s">
        <v>29</v>
      </c>
      <c r="G18" s="1" t="s">
        <v>30</v>
      </c>
      <c r="H18" s="1" t="s">
        <v>19</v>
      </c>
      <c r="I18" s="1">
        <v>1</v>
      </c>
      <c r="J18" s="4">
        <v>24275000</v>
      </c>
      <c r="K18" s="4">
        <v>19335000</v>
      </c>
      <c r="L18" s="4">
        <v>4940000</v>
      </c>
      <c r="M18" s="1" t="s">
        <v>20</v>
      </c>
    </row>
    <row r="19" spans="1:13">
      <c r="A19" s="1" t="s">
        <v>72</v>
      </c>
      <c r="B19" s="3">
        <v>46011</v>
      </c>
      <c r="C19" s="1" t="s">
        <v>73</v>
      </c>
      <c r="D19" s="1" t="s">
        <v>23</v>
      </c>
      <c r="E19" s="1" t="s">
        <v>54</v>
      </c>
      <c r="F19" s="1" t="s">
        <v>17</v>
      </c>
      <c r="G19" s="1" t="s">
        <v>30</v>
      </c>
      <c r="H19" s="1" t="s">
        <v>31</v>
      </c>
      <c r="I19" s="1">
        <v>3</v>
      </c>
      <c r="J19" s="4">
        <v>87593000</v>
      </c>
      <c r="K19" s="4">
        <v>69169000</v>
      </c>
      <c r="L19" s="4">
        <v>18424000</v>
      </c>
      <c r="M19" s="1" t="s">
        <v>20</v>
      </c>
    </row>
    <row r="20" spans="1:13">
      <c r="A20" s="1" t="s">
        <v>74</v>
      </c>
      <c r="B20" s="3">
        <v>45690</v>
      </c>
      <c r="C20" s="1" t="s">
        <v>75</v>
      </c>
      <c r="D20" s="1" t="s">
        <v>15</v>
      </c>
      <c r="E20" s="1" t="s">
        <v>44</v>
      </c>
      <c r="F20" s="1" t="s">
        <v>17</v>
      </c>
      <c r="G20" s="1" t="s">
        <v>18</v>
      </c>
      <c r="H20" s="1" t="s">
        <v>34</v>
      </c>
      <c r="I20" s="1">
        <v>1</v>
      </c>
      <c r="J20" s="4">
        <v>25669000</v>
      </c>
      <c r="K20" s="4">
        <v>20865000</v>
      </c>
      <c r="L20" s="4">
        <v>4804000</v>
      </c>
      <c r="M20" s="1" t="s">
        <v>20</v>
      </c>
    </row>
    <row r="21" spans="1:13">
      <c r="A21" s="1" t="s">
        <v>76</v>
      </c>
      <c r="B21" s="3">
        <v>45827</v>
      </c>
      <c r="C21" s="1" t="s">
        <v>77</v>
      </c>
      <c r="D21" s="1" t="s">
        <v>23</v>
      </c>
      <c r="E21" s="1" t="s">
        <v>16</v>
      </c>
      <c r="F21" s="1" t="s">
        <v>17</v>
      </c>
      <c r="G21" s="1" t="s">
        <v>24</v>
      </c>
      <c r="H21" s="1" t="s">
        <v>25</v>
      </c>
      <c r="I21" s="1">
        <v>1</v>
      </c>
      <c r="J21" s="4">
        <v>12543000</v>
      </c>
      <c r="K21" s="4">
        <v>13967000</v>
      </c>
      <c r="L21" s="4">
        <v>-1424000</v>
      </c>
      <c r="M21" s="1" t="s">
        <v>20</v>
      </c>
    </row>
    <row r="22" spans="1:13">
      <c r="A22" s="1" t="s">
        <v>78</v>
      </c>
      <c r="B22" s="3">
        <v>45782</v>
      </c>
      <c r="C22" s="1" t="s">
        <v>79</v>
      </c>
      <c r="D22" s="1" t="s">
        <v>15</v>
      </c>
      <c r="E22" s="1" t="s">
        <v>40</v>
      </c>
      <c r="F22" s="1" t="s">
        <v>29</v>
      </c>
      <c r="G22" s="1" t="s">
        <v>18</v>
      </c>
      <c r="H22" s="1" t="s">
        <v>37</v>
      </c>
      <c r="I22" s="1">
        <v>1</v>
      </c>
      <c r="J22" s="4">
        <v>22862000</v>
      </c>
      <c r="K22" s="4">
        <v>19663000</v>
      </c>
      <c r="L22" s="4">
        <v>3199000</v>
      </c>
      <c r="M22" s="1" t="s">
        <v>20</v>
      </c>
    </row>
    <row r="23" spans="1:13">
      <c r="A23" s="1" t="s">
        <v>80</v>
      </c>
      <c r="B23" s="3">
        <v>45992</v>
      </c>
      <c r="C23" s="1" t="s">
        <v>81</v>
      </c>
      <c r="D23" s="1" t="s">
        <v>23</v>
      </c>
      <c r="E23" s="1" t="s">
        <v>64</v>
      </c>
      <c r="F23" s="1" t="s">
        <v>29</v>
      </c>
      <c r="G23" s="1" t="s">
        <v>24</v>
      </c>
      <c r="H23" s="1" t="s">
        <v>25</v>
      </c>
      <c r="I23" s="1">
        <v>1</v>
      </c>
      <c r="J23" s="4">
        <v>21650000</v>
      </c>
      <c r="K23" s="4">
        <v>18962000</v>
      </c>
      <c r="L23" s="4">
        <v>2688000</v>
      </c>
      <c r="M23" s="1" t="s">
        <v>20</v>
      </c>
    </row>
    <row r="24" spans="1:13">
      <c r="A24" s="1" t="s">
        <v>82</v>
      </c>
      <c r="B24" s="3">
        <v>45729</v>
      </c>
      <c r="C24" s="1" t="s">
        <v>83</v>
      </c>
      <c r="D24" s="1" t="s">
        <v>23</v>
      </c>
      <c r="E24" s="1" t="s">
        <v>44</v>
      </c>
      <c r="F24" s="1" t="s">
        <v>17</v>
      </c>
      <c r="G24" s="1" t="s">
        <v>18</v>
      </c>
      <c r="H24" s="1" t="s">
        <v>34</v>
      </c>
      <c r="I24" s="1">
        <v>1</v>
      </c>
      <c r="J24" s="4">
        <v>28091000</v>
      </c>
      <c r="K24" s="4">
        <v>21676000</v>
      </c>
      <c r="L24" s="4">
        <v>6415000</v>
      </c>
      <c r="M24" s="1" t="s">
        <v>20</v>
      </c>
    </row>
    <row r="25" spans="1:13">
      <c r="A25" s="1" t="s">
        <v>84</v>
      </c>
      <c r="B25" s="3">
        <v>45991</v>
      </c>
      <c r="C25" s="1" t="s">
        <v>85</v>
      </c>
      <c r="D25" s="1" t="s">
        <v>15</v>
      </c>
      <c r="E25" s="1" t="s">
        <v>64</v>
      </c>
      <c r="F25" s="1" t="s">
        <v>29</v>
      </c>
      <c r="G25" s="1" t="s">
        <v>49</v>
      </c>
      <c r="H25" s="1" t="s">
        <v>31</v>
      </c>
      <c r="I25" s="1">
        <v>2</v>
      </c>
      <c r="J25" s="4">
        <v>38260000</v>
      </c>
      <c r="K25" s="4">
        <v>37876000</v>
      </c>
      <c r="L25" s="4">
        <v>384000</v>
      </c>
      <c r="M25" s="1" t="s">
        <v>20</v>
      </c>
    </row>
    <row r="26" spans="1:13">
      <c r="A26" s="1" t="s">
        <v>86</v>
      </c>
      <c r="B26" s="3">
        <v>45863</v>
      </c>
      <c r="C26" s="1" t="s">
        <v>87</v>
      </c>
      <c r="D26" s="1" t="s">
        <v>23</v>
      </c>
      <c r="E26" s="1" t="s">
        <v>64</v>
      </c>
      <c r="F26" s="1" t="s">
        <v>29</v>
      </c>
      <c r="G26" s="1" t="s">
        <v>49</v>
      </c>
      <c r="H26" s="1" t="s">
        <v>37</v>
      </c>
      <c r="I26" s="1">
        <v>1</v>
      </c>
      <c r="J26" s="4">
        <v>21797000</v>
      </c>
      <c r="K26" s="4">
        <v>19081000</v>
      </c>
      <c r="L26" s="4">
        <v>2716000</v>
      </c>
      <c r="M26" s="1" t="s">
        <v>20</v>
      </c>
    </row>
    <row r="27" spans="1:13">
      <c r="A27" s="1" t="s">
        <v>88</v>
      </c>
      <c r="B27" s="3">
        <v>45942</v>
      </c>
      <c r="C27" s="1" t="s">
        <v>89</v>
      </c>
      <c r="D27" s="1" t="s">
        <v>23</v>
      </c>
      <c r="E27" s="1" t="s">
        <v>60</v>
      </c>
      <c r="F27" s="1" t="s">
        <v>61</v>
      </c>
      <c r="G27" s="1" t="s">
        <v>41</v>
      </c>
      <c r="H27" s="1" t="s">
        <v>34</v>
      </c>
      <c r="I27" s="1">
        <v>1</v>
      </c>
      <c r="J27" s="4">
        <v>59066000</v>
      </c>
      <c r="K27" s="4">
        <v>48270000</v>
      </c>
      <c r="L27" s="4">
        <v>10796000</v>
      </c>
      <c r="M27" s="1" t="s">
        <v>20</v>
      </c>
    </row>
    <row r="28" spans="1:13">
      <c r="A28" s="1" t="s">
        <v>90</v>
      </c>
      <c r="B28" s="3">
        <v>45683</v>
      </c>
      <c r="C28" s="1" t="s">
        <v>91</v>
      </c>
      <c r="D28" s="1" t="s">
        <v>23</v>
      </c>
      <c r="E28" s="1" t="s">
        <v>57</v>
      </c>
      <c r="F28" s="1" t="s">
        <v>29</v>
      </c>
      <c r="G28" s="1" t="s">
        <v>18</v>
      </c>
      <c r="H28" s="1" t="s">
        <v>19</v>
      </c>
      <c r="I28" s="1">
        <v>2</v>
      </c>
      <c r="J28" s="4">
        <v>82600000</v>
      </c>
      <c r="K28" s="4">
        <v>74272000</v>
      </c>
      <c r="L28" s="4">
        <v>8328000</v>
      </c>
      <c r="M28" s="1" t="s">
        <v>20</v>
      </c>
    </row>
    <row r="29" spans="1:13">
      <c r="A29" s="1" t="s">
        <v>92</v>
      </c>
      <c r="B29" s="3">
        <v>45692</v>
      </c>
      <c r="C29" s="1" t="s">
        <v>93</v>
      </c>
      <c r="D29" s="1" t="s">
        <v>23</v>
      </c>
      <c r="E29" s="1" t="s">
        <v>60</v>
      </c>
      <c r="F29" s="1" t="s">
        <v>61</v>
      </c>
      <c r="G29" s="1" t="s">
        <v>18</v>
      </c>
      <c r="H29" s="1" t="s">
        <v>25</v>
      </c>
      <c r="I29" s="1">
        <v>1</v>
      </c>
      <c r="J29" s="4">
        <v>64400000</v>
      </c>
      <c r="K29" s="4">
        <v>49218000</v>
      </c>
      <c r="L29" s="4">
        <v>15182000</v>
      </c>
      <c r="M29" s="1" t="s">
        <v>20</v>
      </c>
    </row>
    <row r="30" spans="1:13">
      <c r="A30" s="1" t="s">
        <v>94</v>
      </c>
      <c r="B30" s="3">
        <v>45994</v>
      </c>
      <c r="C30" s="1" t="s">
        <v>95</v>
      </c>
      <c r="D30" s="1" t="s">
        <v>23</v>
      </c>
      <c r="E30" s="1" t="s">
        <v>57</v>
      </c>
      <c r="F30" s="1" t="s">
        <v>29</v>
      </c>
      <c r="G30" s="1" t="s">
        <v>30</v>
      </c>
      <c r="H30" s="1" t="s">
        <v>37</v>
      </c>
      <c r="I30" s="1">
        <v>2</v>
      </c>
      <c r="J30" s="4">
        <v>83124000</v>
      </c>
      <c r="K30" s="4">
        <v>72535000</v>
      </c>
      <c r="L30" s="4">
        <v>10589000</v>
      </c>
      <c r="M30" s="1" t="s">
        <v>20</v>
      </c>
    </row>
    <row r="31" spans="1:13">
      <c r="A31" s="1" t="s">
        <v>96</v>
      </c>
      <c r="B31" s="3">
        <v>45988</v>
      </c>
      <c r="C31" s="1" t="s">
        <v>97</v>
      </c>
      <c r="D31" s="1" t="s">
        <v>23</v>
      </c>
      <c r="E31" s="1" t="s">
        <v>54</v>
      </c>
      <c r="F31" s="1" t="s">
        <v>17</v>
      </c>
      <c r="G31" s="1" t="s">
        <v>18</v>
      </c>
      <c r="H31" s="1" t="s">
        <v>19</v>
      </c>
      <c r="I31" s="1">
        <v>1</v>
      </c>
      <c r="J31" s="4">
        <v>22188000</v>
      </c>
      <c r="K31" s="4">
        <v>23103000</v>
      </c>
      <c r="L31" s="4">
        <v>-915000</v>
      </c>
      <c r="M31" s="1" t="s">
        <v>69</v>
      </c>
    </row>
    <row r="32" spans="1:13">
      <c r="A32" s="1" t="s">
        <v>98</v>
      </c>
      <c r="B32" s="3">
        <v>45767</v>
      </c>
      <c r="C32" s="1" t="s">
        <v>99</v>
      </c>
      <c r="D32" s="1" t="s">
        <v>23</v>
      </c>
      <c r="E32" s="1" t="s">
        <v>28</v>
      </c>
      <c r="F32" s="1" t="s">
        <v>29</v>
      </c>
      <c r="G32" s="1" t="s">
        <v>24</v>
      </c>
      <c r="H32" s="1" t="s">
        <v>37</v>
      </c>
      <c r="I32" s="1">
        <v>1</v>
      </c>
      <c r="J32" s="4">
        <v>49345000</v>
      </c>
      <c r="K32" s="4">
        <v>42388000</v>
      </c>
      <c r="L32" s="4">
        <v>6957000</v>
      </c>
      <c r="M32" s="1" t="s">
        <v>20</v>
      </c>
    </row>
    <row r="33" spans="1:13">
      <c r="A33" s="1" t="s">
        <v>100</v>
      </c>
      <c r="B33" s="3">
        <v>45812</v>
      </c>
      <c r="C33" s="1" t="s">
        <v>101</v>
      </c>
      <c r="D33" s="1" t="s">
        <v>15</v>
      </c>
      <c r="E33" s="1" t="s">
        <v>57</v>
      </c>
      <c r="F33" s="1" t="s">
        <v>29</v>
      </c>
      <c r="G33" s="1" t="s">
        <v>18</v>
      </c>
      <c r="H33" s="1" t="s">
        <v>31</v>
      </c>
      <c r="I33" s="1">
        <v>1</v>
      </c>
      <c r="J33" s="4">
        <v>29134000</v>
      </c>
      <c r="K33" s="4">
        <v>36626000</v>
      </c>
      <c r="L33" s="4">
        <v>-7492000</v>
      </c>
      <c r="M33" s="1" t="s">
        <v>20</v>
      </c>
    </row>
    <row r="34" spans="1:13">
      <c r="A34" s="1" t="s">
        <v>102</v>
      </c>
      <c r="B34" s="3">
        <v>45793</v>
      </c>
      <c r="C34" s="1" t="s">
        <v>103</v>
      </c>
      <c r="D34" s="1" t="s">
        <v>23</v>
      </c>
      <c r="E34" s="1" t="s">
        <v>16</v>
      </c>
      <c r="F34" s="1" t="s">
        <v>17</v>
      </c>
      <c r="G34" s="1" t="s">
        <v>41</v>
      </c>
      <c r="H34" s="1" t="s">
        <v>19</v>
      </c>
      <c r="I34" s="1">
        <v>1</v>
      </c>
      <c r="J34" s="4">
        <v>17557000</v>
      </c>
      <c r="K34" s="4">
        <v>14652000</v>
      </c>
      <c r="L34" s="4">
        <v>2905000</v>
      </c>
      <c r="M34" s="1" t="s">
        <v>20</v>
      </c>
    </row>
    <row r="35" spans="1:13">
      <c r="A35" s="1" t="s">
        <v>104</v>
      </c>
      <c r="B35" s="3">
        <v>45908</v>
      </c>
      <c r="C35" s="1" t="s">
        <v>105</v>
      </c>
      <c r="D35" s="1" t="s">
        <v>15</v>
      </c>
      <c r="E35" s="1" t="s">
        <v>54</v>
      </c>
      <c r="F35" s="1" t="s">
        <v>17</v>
      </c>
      <c r="G35" s="1" t="s">
        <v>30</v>
      </c>
      <c r="H35" s="1" t="s">
        <v>37</v>
      </c>
      <c r="I35" s="1">
        <v>1</v>
      </c>
      <c r="J35" s="4">
        <v>29140000</v>
      </c>
      <c r="K35" s="4">
        <v>23964000</v>
      </c>
      <c r="L35" s="4">
        <v>5176000</v>
      </c>
      <c r="M35" s="1" t="s">
        <v>20</v>
      </c>
    </row>
    <row r="36" spans="1:13">
      <c r="A36" s="1" t="s">
        <v>106</v>
      </c>
      <c r="B36" s="3">
        <v>45792</v>
      </c>
      <c r="C36" s="1" t="s">
        <v>107</v>
      </c>
      <c r="D36" s="1" t="s">
        <v>23</v>
      </c>
      <c r="E36" s="1" t="s">
        <v>16</v>
      </c>
      <c r="F36" s="1" t="s">
        <v>17</v>
      </c>
      <c r="G36" s="1" t="s">
        <v>30</v>
      </c>
      <c r="H36" s="1" t="s">
        <v>19</v>
      </c>
      <c r="I36" s="1">
        <v>1</v>
      </c>
      <c r="J36" s="4">
        <v>18233000</v>
      </c>
      <c r="K36" s="4">
        <v>13937000</v>
      </c>
      <c r="L36" s="4">
        <v>4296000</v>
      </c>
      <c r="M36" s="1" t="s">
        <v>69</v>
      </c>
    </row>
    <row r="37" spans="1:13">
      <c r="A37" s="1" t="s">
        <v>108</v>
      </c>
      <c r="B37" s="3">
        <v>45676</v>
      </c>
      <c r="C37" s="1" t="s">
        <v>109</v>
      </c>
      <c r="D37" s="1" t="s">
        <v>15</v>
      </c>
      <c r="E37" s="1" t="s">
        <v>40</v>
      </c>
      <c r="F37" s="1" t="s">
        <v>29</v>
      </c>
      <c r="G37" s="1" t="s">
        <v>18</v>
      </c>
      <c r="H37" s="1" t="s">
        <v>110</v>
      </c>
      <c r="I37" s="1">
        <v>1</v>
      </c>
      <c r="J37" s="4">
        <v>22958000</v>
      </c>
      <c r="K37" s="4">
        <v>19420000</v>
      </c>
      <c r="L37" s="4">
        <v>3538000</v>
      </c>
      <c r="M37" s="1" t="s">
        <v>20</v>
      </c>
    </row>
    <row r="38" spans="1:13">
      <c r="A38" s="1" t="s">
        <v>111</v>
      </c>
      <c r="B38" s="3">
        <v>45765</v>
      </c>
      <c r="C38" s="1" t="s">
        <v>112</v>
      </c>
      <c r="D38" s="1" t="s">
        <v>15</v>
      </c>
      <c r="E38" s="1" t="s">
        <v>60</v>
      </c>
      <c r="F38" s="1" t="s">
        <v>61</v>
      </c>
      <c r="G38" s="1" t="s">
        <v>30</v>
      </c>
      <c r="H38" s="1" t="s">
        <v>31</v>
      </c>
      <c r="I38" s="1">
        <v>1</v>
      </c>
      <c r="J38" s="4">
        <v>61780000</v>
      </c>
      <c r="K38" s="4">
        <v>52392000</v>
      </c>
      <c r="L38" s="4">
        <v>9388000</v>
      </c>
      <c r="M38" s="1" t="s">
        <v>69</v>
      </c>
    </row>
    <row r="39" spans="1:13">
      <c r="A39" s="1" t="s">
        <v>113</v>
      </c>
      <c r="B39" s="3">
        <v>45741</v>
      </c>
      <c r="C39" s="1" t="s">
        <v>114</v>
      </c>
      <c r="D39" s="1" t="s">
        <v>15</v>
      </c>
      <c r="E39" s="1" t="s">
        <v>64</v>
      </c>
      <c r="F39" s="1" t="s">
        <v>29</v>
      </c>
      <c r="G39" s="1" t="s">
        <v>49</v>
      </c>
      <c r="H39" s="1" t="s">
        <v>37</v>
      </c>
      <c r="I39" s="1">
        <v>2</v>
      </c>
      <c r="J39" s="4">
        <v>41502000</v>
      </c>
      <c r="K39" s="4">
        <v>37466000</v>
      </c>
      <c r="L39" s="4">
        <v>4036000</v>
      </c>
      <c r="M39" s="1" t="s">
        <v>20</v>
      </c>
    </row>
    <row r="40" spans="1:13">
      <c r="A40" s="1" t="s">
        <v>115</v>
      </c>
      <c r="B40" s="3">
        <v>45785</v>
      </c>
      <c r="C40" s="1" t="s">
        <v>116</v>
      </c>
      <c r="D40" s="1" t="s">
        <v>15</v>
      </c>
      <c r="E40" s="1" t="s">
        <v>54</v>
      </c>
      <c r="F40" s="1" t="s">
        <v>17</v>
      </c>
      <c r="G40" s="1" t="s">
        <v>49</v>
      </c>
      <c r="H40" s="1" t="s">
        <v>110</v>
      </c>
      <c r="I40" s="1">
        <v>1</v>
      </c>
      <c r="J40" s="4">
        <v>30021000</v>
      </c>
      <c r="K40" s="4">
        <v>24032000</v>
      </c>
      <c r="L40" s="4">
        <v>5989000</v>
      </c>
      <c r="M40" s="1" t="s">
        <v>20</v>
      </c>
    </row>
    <row r="41" spans="1:13">
      <c r="A41" s="1" t="s">
        <v>117</v>
      </c>
      <c r="B41" s="3">
        <v>45814</v>
      </c>
      <c r="C41" s="1" t="s">
        <v>36</v>
      </c>
      <c r="D41" s="1" t="s">
        <v>15</v>
      </c>
      <c r="E41" s="1" t="s">
        <v>40</v>
      </c>
      <c r="F41" s="1" t="s">
        <v>29</v>
      </c>
      <c r="G41" s="1" t="s">
        <v>41</v>
      </c>
      <c r="H41" s="1" t="s">
        <v>110</v>
      </c>
      <c r="I41" s="1">
        <v>1</v>
      </c>
      <c r="J41" s="4">
        <v>17726000</v>
      </c>
      <c r="K41" s="4">
        <v>19599000</v>
      </c>
      <c r="L41" s="4">
        <v>-1873000</v>
      </c>
      <c r="M41" s="1" t="s">
        <v>20</v>
      </c>
    </row>
    <row r="42" spans="1:13">
      <c r="A42" s="1" t="s">
        <v>118</v>
      </c>
      <c r="B42" s="3">
        <v>45986</v>
      </c>
      <c r="C42" s="1" t="s">
        <v>119</v>
      </c>
      <c r="D42" s="1" t="s">
        <v>15</v>
      </c>
      <c r="E42" s="1" t="s">
        <v>28</v>
      </c>
      <c r="F42" s="1" t="s">
        <v>29</v>
      </c>
      <c r="G42" s="1" t="s">
        <v>30</v>
      </c>
      <c r="H42" s="1" t="s">
        <v>19</v>
      </c>
      <c r="I42" s="1">
        <v>2</v>
      </c>
      <c r="J42" s="4">
        <v>83834000</v>
      </c>
      <c r="K42" s="4">
        <v>82890000</v>
      </c>
      <c r="L42" s="4">
        <v>944000</v>
      </c>
      <c r="M42" s="1" t="s">
        <v>20</v>
      </c>
    </row>
    <row r="43" spans="1:13">
      <c r="A43" s="1" t="s">
        <v>120</v>
      </c>
      <c r="B43" s="3">
        <v>45793</v>
      </c>
      <c r="C43" s="1" t="s">
        <v>121</v>
      </c>
      <c r="D43" s="1" t="s">
        <v>15</v>
      </c>
      <c r="E43" s="1" t="s">
        <v>16</v>
      </c>
      <c r="F43" s="1" t="s">
        <v>17</v>
      </c>
      <c r="G43" s="1" t="s">
        <v>49</v>
      </c>
      <c r="H43" s="1" t="s">
        <v>19</v>
      </c>
      <c r="I43" s="1">
        <v>1</v>
      </c>
      <c r="J43" s="4">
        <v>18760000</v>
      </c>
      <c r="K43" s="4">
        <v>14408000</v>
      </c>
      <c r="L43" s="4">
        <v>4352000</v>
      </c>
      <c r="M43" s="1" t="s">
        <v>69</v>
      </c>
    </row>
    <row r="44" spans="1:13">
      <c r="A44" s="1" t="s">
        <v>122</v>
      </c>
      <c r="B44" s="3">
        <v>45755</v>
      </c>
      <c r="C44" s="1" t="s">
        <v>123</v>
      </c>
      <c r="D44" s="1" t="s">
        <v>15</v>
      </c>
      <c r="E44" s="1" t="s">
        <v>54</v>
      </c>
      <c r="F44" s="1" t="s">
        <v>17</v>
      </c>
      <c r="G44" s="1" t="s">
        <v>30</v>
      </c>
      <c r="H44" s="1" t="s">
        <v>110</v>
      </c>
      <c r="I44" s="1">
        <v>1</v>
      </c>
      <c r="J44" s="4">
        <v>30219000</v>
      </c>
      <c r="K44" s="4">
        <v>23289000</v>
      </c>
      <c r="L44" s="4">
        <v>6930000</v>
      </c>
      <c r="M44" s="1" t="s">
        <v>20</v>
      </c>
    </row>
    <row r="45" spans="1:13">
      <c r="A45" s="1" t="s">
        <v>124</v>
      </c>
      <c r="B45" s="3">
        <v>45878</v>
      </c>
      <c r="C45" s="1" t="s">
        <v>125</v>
      </c>
      <c r="D45" s="1" t="s">
        <v>15</v>
      </c>
      <c r="E45" s="1" t="s">
        <v>16</v>
      </c>
      <c r="F45" s="1" t="s">
        <v>17</v>
      </c>
      <c r="G45" s="1" t="s">
        <v>24</v>
      </c>
      <c r="H45" s="1" t="s">
        <v>110</v>
      </c>
      <c r="I45" s="1">
        <v>1</v>
      </c>
      <c r="J45" s="4">
        <v>17655000</v>
      </c>
      <c r="K45" s="4">
        <v>15005000</v>
      </c>
      <c r="L45" s="4">
        <v>2650000</v>
      </c>
      <c r="M45" s="1" t="s">
        <v>20</v>
      </c>
    </row>
    <row r="46" spans="1:13">
      <c r="A46" s="1" t="s">
        <v>126</v>
      </c>
      <c r="B46" s="3">
        <v>45999</v>
      </c>
      <c r="C46" s="1" t="s">
        <v>127</v>
      </c>
      <c r="D46" s="1" t="s">
        <v>23</v>
      </c>
      <c r="E46" s="1" t="s">
        <v>44</v>
      </c>
      <c r="F46" s="1" t="s">
        <v>17</v>
      </c>
      <c r="G46" s="1" t="s">
        <v>30</v>
      </c>
      <c r="H46" s="1" t="s">
        <v>19</v>
      </c>
      <c r="I46" s="1">
        <v>1</v>
      </c>
      <c r="J46" s="4">
        <v>25349000</v>
      </c>
      <c r="K46" s="4">
        <v>21627000</v>
      </c>
      <c r="L46" s="4">
        <v>3722000</v>
      </c>
      <c r="M46" s="1" t="s">
        <v>69</v>
      </c>
    </row>
    <row r="47" spans="1:13">
      <c r="A47" s="1" t="s">
        <v>128</v>
      </c>
      <c r="B47" s="3">
        <v>45949</v>
      </c>
      <c r="C47" s="1" t="s">
        <v>129</v>
      </c>
      <c r="D47" s="1" t="s">
        <v>23</v>
      </c>
      <c r="E47" s="1" t="s">
        <v>54</v>
      </c>
      <c r="F47" s="1" t="s">
        <v>17</v>
      </c>
      <c r="G47" s="1" t="s">
        <v>41</v>
      </c>
      <c r="H47" s="1" t="s">
        <v>25</v>
      </c>
      <c r="I47" s="1">
        <v>1</v>
      </c>
      <c r="J47" s="4">
        <v>27853000</v>
      </c>
      <c r="K47" s="4">
        <v>23037000</v>
      </c>
      <c r="L47" s="4">
        <v>4816000</v>
      </c>
      <c r="M47" s="1" t="s">
        <v>20</v>
      </c>
    </row>
    <row r="48" spans="1:13">
      <c r="A48" s="1" t="s">
        <v>130</v>
      </c>
      <c r="B48" s="3">
        <v>45884</v>
      </c>
      <c r="C48" s="1" t="s">
        <v>68</v>
      </c>
      <c r="D48" s="1" t="s">
        <v>23</v>
      </c>
      <c r="E48" s="1" t="s">
        <v>44</v>
      </c>
      <c r="F48" s="1" t="s">
        <v>17</v>
      </c>
      <c r="G48" s="1" t="s">
        <v>41</v>
      </c>
      <c r="H48" s="1" t="s">
        <v>19</v>
      </c>
      <c r="I48" s="1">
        <v>1</v>
      </c>
      <c r="J48" s="4">
        <v>28015000</v>
      </c>
      <c r="K48" s="4">
        <v>22445000</v>
      </c>
      <c r="L48" s="4">
        <v>5570000</v>
      </c>
      <c r="M48" s="1" t="s">
        <v>20</v>
      </c>
    </row>
    <row r="49" spans="1:13">
      <c r="A49" s="1" t="s">
        <v>131</v>
      </c>
      <c r="B49" s="3">
        <v>45997</v>
      </c>
      <c r="C49" s="1" t="s">
        <v>132</v>
      </c>
      <c r="D49" s="1" t="s">
        <v>23</v>
      </c>
      <c r="E49" s="1" t="s">
        <v>60</v>
      </c>
      <c r="F49" s="1" t="s">
        <v>61</v>
      </c>
      <c r="G49" s="1" t="s">
        <v>30</v>
      </c>
      <c r="H49" s="1" t="s">
        <v>34</v>
      </c>
      <c r="I49" s="1">
        <v>1</v>
      </c>
      <c r="J49" s="4">
        <v>63297000</v>
      </c>
      <c r="K49" s="4">
        <v>51373000</v>
      </c>
      <c r="L49" s="4">
        <v>11924000</v>
      </c>
      <c r="M49" s="1" t="s">
        <v>20</v>
      </c>
    </row>
    <row r="50" spans="1:13">
      <c r="A50" s="1" t="s">
        <v>133</v>
      </c>
      <c r="B50" s="3">
        <v>45681</v>
      </c>
      <c r="C50" s="1" t="s">
        <v>134</v>
      </c>
      <c r="D50" s="1" t="s">
        <v>23</v>
      </c>
      <c r="E50" s="1" t="s">
        <v>54</v>
      </c>
      <c r="F50" s="1" t="s">
        <v>17</v>
      </c>
      <c r="G50" s="1" t="s">
        <v>49</v>
      </c>
      <c r="H50" s="1" t="s">
        <v>25</v>
      </c>
      <c r="I50" s="1">
        <v>2</v>
      </c>
      <c r="J50" s="4">
        <v>54120000</v>
      </c>
      <c r="K50" s="4">
        <v>46003000</v>
      </c>
      <c r="L50" s="4">
        <v>8117000</v>
      </c>
      <c r="M50" s="1" t="s">
        <v>20</v>
      </c>
    </row>
    <row r="51" spans="1:13">
      <c r="A51" s="1" t="s">
        <v>135</v>
      </c>
      <c r="B51" s="3">
        <v>45862</v>
      </c>
      <c r="C51" s="1" t="s">
        <v>71</v>
      </c>
      <c r="D51" s="1" t="s">
        <v>15</v>
      </c>
      <c r="E51" s="1" t="s">
        <v>54</v>
      </c>
      <c r="F51" s="1" t="s">
        <v>17</v>
      </c>
      <c r="G51" s="1" t="s">
        <v>30</v>
      </c>
      <c r="H51" s="1" t="s">
        <v>31</v>
      </c>
      <c r="I51" s="1">
        <v>1</v>
      </c>
      <c r="J51" s="4">
        <v>29572000</v>
      </c>
      <c r="K51" s="4">
        <v>23827000</v>
      </c>
      <c r="L51" s="4">
        <v>5745000</v>
      </c>
      <c r="M51" s="1" t="s">
        <v>20</v>
      </c>
    </row>
    <row r="52" spans="1:13">
      <c r="A52" s="1" t="s">
        <v>136</v>
      </c>
      <c r="B52" s="3">
        <v>46014</v>
      </c>
      <c r="C52" s="1" t="s">
        <v>137</v>
      </c>
      <c r="D52" s="1" t="s">
        <v>23</v>
      </c>
      <c r="E52" s="1" t="s">
        <v>28</v>
      </c>
      <c r="F52" s="1" t="s">
        <v>29</v>
      </c>
      <c r="G52" s="1" t="s">
        <v>24</v>
      </c>
      <c r="H52" s="1" t="s">
        <v>19</v>
      </c>
      <c r="I52" s="1">
        <v>1</v>
      </c>
      <c r="J52" s="4">
        <v>54615000</v>
      </c>
      <c r="K52" s="4">
        <v>43311000</v>
      </c>
      <c r="L52" s="4">
        <v>11304000</v>
      </c>
      <c r="M52" s="1" t="s">
        <v>20</v>
      </c>
    </row>
    <row r="53" spans="1:13">
      <c r="A53" s="1" t="s">
        <v>138</v>
      </c>
      <c r="B53" s="3">
        <v>45962</v>
      </c>
      <c r="C53" s="1" t="s">
        <v>139</v>
      </c>
      <c r="D53" s="1" t="s">
        <v>15</v>
      </c>
      <c r="E53" s="1" t="s">
        <v>44</v>
      </c>
      <c r="F53" s="1" t="s">
        <v>17</v>
      </c>
      <c r="G53" s="1" t="s">
        <v>24</v>
      </c>
      <c r="H53" s="1" t="s">
        <v>25</v>
      </c>
      <c r="I53" s="1">
        <v>1</v>
      </c>
      <c r="J53" s="4">
        <v>22729000</v>
      </c>
      <c r="K53" s="4">
        <v>22655000</v>
      </c>
      <c r="L53" s="4">
        <v>74000</v>
      </c>
      <c r="M53" s="1" t="s">
        <v>20</v>
      </c>
    </row>
    <row r="54" spans="1:13">
      <c r="A54" s="1" t="s">
        <v>140</v>
      </c>
      <c r="B54" s="3">
        <v>45739</v>
      </c>
      <c r="C54" s="1" t="s">
        <v>141</v>
      </c>
      <c r="D54" s="1" t="s">
        <v>23</v>
      </c>
      <c r="E54" s="1" t="s">
        <v>40</v>
      </c>
      <c r="F54" s="1" t="s">
        <v>29</v>
      </c>
      <c r="G54" s="1" t="s">
        <v>49</v>
      </c>
      <c r="H54" s="1" t="s">
        <v>37</v>
      </c>
      <c r="I54" s="1">
        <v>1</v>
      </c>
      <c r="J54" s="4">
        <v>23331000</v>
      </c>
      <c r="K54" s="4">
        <v>20073000</v>
      </c>
      <c r="L54" s="4">
        <v>3258000</v>
      </c>
      <c r="M54" s="1" t="s">
        <v>20</v>
      </c>
    </row>
    <row r="55" spans="1:13">
      <c r="A55" s="1" t="s">
        <v>142</v>
      </c>
      <c r="B55" s="3">
        <v>45780</v>
      </c>
      <c r="C55" s="1" t="s">
        <v>143</v>
      </c>
      <c r="D55" s="1" t="s">
        <v>23</v>
      </c>
      <c r="E55" s="1" t="s">
        <v>54</v>
      </c>
      <c r="F55" s="1" t="s">
        <v>17</v>
      </c>
      <c r="G55" s="1" t="s">
        <v>30</v>
      </c>
      <c r="H55" s="1" t="s">
        <v>31</v>
      </c>
      <c r="I55" s="1">
        <v>1</v>
      </c>
      <c r="J55" s="4">
        <v>27797000</v>
      </c>
      <c r="K55" s="4">
        <v>22782000</v>
      </c>
      <c r="L55" s="4">
        <v>5015000</v>
      </c>
      <c r="M55" s="1" t="s">
        <v>20</v>
      </c>
    </row>
    <row r="56" spans="1:13">
      <c r="A56" s="1" t="s">
        <v>144</v>
      </c>
      <c r="B56" s="3">
        <v>45854</v>
      </c>
      <c r="C56" s="1" t="s">
        <v>103</v>
      </c>
      <c r="D56" s="1" t="s">
        <v>15</v>
      </c>
      <c r="E56" s="1" t="s">
        <v>40</v>
      </c>
      <c r="F56" s="1" t="s">
        <v>29</v>
      </c>
      <c r="G56" s="1" t="s">
        <v>49</v>
      </c>
      <c r="H56" s="1" t="s">
        <v>25</v>
      </c>
      <c r="I56" s="1">
        <v>1</v>
      </c>
      <c r="J56" s="4">
        <v>23832000</v>
      </c>
      <c r="K56" s="4">
        <v>19884000</v>
      </c>
      <c r="L56" s="4">
        <v>3948000</v>
      </c>
      <c r="M56" s="1" t="s">
        <v>20</v>
      </c>
    </row>
    <row r="57" spans="1:13">
      <c r="A57" s="1" t="s">
        <v>145</v>
      </c>
      <c r="B57" s="3">
        <v>45957</v>
      </c>
      <c r="C57" s="1" t="s">
        <v>125</v>
      </c>
      <c r="D57" s="1" t="s">
        <v>23</v>
      </c>
      <c r="E57" s="1" t="s">
        <v>64</v>
      </c>
      <c r="F57" s="1" t="s">
        <v>29</v>
      </c>
      <c r="G57" s="1" t="s">
        <v>49</v>
      </c>
      <c r="H57" s="1" t="s">
        <v>25</v>
      </c>
      <c r="I57" s="1">
        <v>2</v>
      </c>
      <c r="J57" s="4">
        <v>44653000</v>
      </c>
      <c r="K57" s="4">
        <v>36516000</v>
      </c>
      <c r="L57" s="4">
        <v>8137000</v>
      </c>
      <c r="M57" s="1" t="s">
        <v>69</v>
      </c>
    </row>
    <row r="58" spans="1:13">
      <c r="A58" s="1" t="s">
        <v>146</v>
      </c>
      <c r="B58" s="3">
        <v>45933</v>
      </c>
      <c r="C58" s="1" t="s">
        <v>147</v>
      </c>
      <c r="D58" s="1" t="s">
        <v>23</v>
      </c>
      <c r="E58" s="1" t="s">
        <v>40</v>
      </c>
      <c r="F58" s="1" t="s">
        <v>29</v>
      </c>
      <c r="G58" s="1" t="s">
        <v>49</v>
      </c>
      <c r="H58" s="1" t="s">
        <v>110</v>
      </c>
      <c r="I58" s="1">
        <v>1</v>
      </c>
      <c r="J58" s="4">
        <v>23248000</v>
      </c>
      <c r="K58" s="4">
        <v>19244000</v>
      </c>
      <c r="L58" s="4">
        <v>4004000</v>
      </c>
      <c r="M58" s="1" t="s">
        <v>20</v>
      </c>
    </row>
    <row r="59" spans="1:13">
      <c r="A59" s="1" t="s">
        <v>148</v>
      </c>
      <c r="B59" s="3">
        <v>46000</v>
      </c>
      <c r="C59" s="1" t="s">
        <v>149</v>
      </c>
      <c r="D59" s="1" t="s">
        <v>23</v>
      </c>
      <c r="E59" s="1" t="s">
        <v>60</v>
      </c>
      <c r="F59" s="1" t="s">
        <v>61</v>
      </c>
      <c r="G59" s="1" t="s">
        <v>49</v>
      </c>
      <c r="H59" s="1" t="s">
        <v>19</v>
      </c>
      <c r="I59" s="1">
        <v>1</v>
      </c>
      <c r="J59" s="4">
        <v>61046000</v>
      </c>
      <c r="K59" s="4">
        <v>48620000</v>
      </c>
      <c r="L59" s="4">
        <v>12426000</v>
      </c>
      <c r="M59" s="1" t="s">
        <v>20</v>
      </c>
    </row>
    <row r="60" spans="1:13">
      <c r="A60" s="1" t="s">
        <v>150</v>
      </c>
      <c r="B60" s="3">
        <v>45946</v>
      </c>
      <c r="C60" s="1" t="s">
        <v>151</v>
      </c>
      <c r="D60" s="1" t="s">
        <v>23</v>
      </c>
      <c r="E60" s="1" t="s">
        <v>60</v>
      </c>
      <c r="F60" s="1" t="s">
        <v>61</v>
      </c>
      <c r="G60" s="1" t="s">
        <v>30</v>
      </c>
      <c r="H60" s="1" t="s">
        <v>25</v>
      </c>
      <c r="I60" s="1">
        <v>1</v>
      </c>
      <c r="J60" s="4">
        <v>64214000</v>
      </c>
      <c r="K60" s="4">
        <v>48893000</v>
      </c>
      <c r="L60" s="4">
        <v>15321000</v>
      </c>
      <c r="M60" s="1" t="s">
        <v>20</v>
      </c>
    </row>
    <row r="61" spans="1:13">
      <c r="A61" s="1" t="s">
        <v>152</v>
      </c>
      <c r="B61" s="3">
        <v>45825</v>
      </c>
      <c r="C61" s="1" t="s">
        <v>153</v>
      </c>
      <c r="D61" s="1" t="s">
        <v>15</v>
      </c>
      <c r="E61" s="1" t="s">
        <v>44</v>
      </c>
      <c r="F61" s="1" t="s">
        <v>17</v>
      </c>
      <c r="G61" s="1" t="s">
        <v>18</v>
      </c>
      <c r="H61" s="1" t="s">
        <v>37</v>
      </c>
      <c r="I61" s="1">
        <v>1</v>
      </c>
      <c r="J61" s="4">
        <v>20295000</v>
      </c>
      <c r="K61" s="4">
        <v>21629000</v>
      </c>
      <c r="L61" s="4">
        <v>-1334000</v>
      </c>
      <c r="M61" s="1" t="s">
        <v>20</v>
      </c>
    </row>
    <row r="62" spans="1:13">
      <c r="A62" s="1" t="s">
        <v>154</v>
      </c>
      <c r="B62" s="3">
        <v>45934</v>
      </c>
      <c r="C62" s="1" t="s">
        <v>147</v>
      </c>
      <c r="D62" s="1" t="s">
        <v>15</v>
      </c>
      <c r="E62" s="1" t="s">
        <v>16</v>
      </c>
      <c r="F62" s="1" t="s">
        <v>17</v>
      </c>
      <c r="G62" s="1" t="s">
        <v>30</v>
      </c>
      <c r="H62" s="1" t="s">
        <v>31</v>
      </c>
      <c r="I62" s="1">
        <v>1</v>
      </c>
      <c r="J62" s="4">
        <v>17081000</v>
      </c>
      <c r="K62" s="4">
        <v>15163000</v>
      </c>
      <c r="L62" s="4">
        <v>1918000</v>
      </c>
      <c r="M62" s="1" t="s">
        <v>20</v>
      </c>
    </row>
    <row r="63" spans="1:13">
      <c r="A63" s="1" t="s">
        <v>155</v>
      </c>
      <c r="B63" s="3">
        <v>45668</v>
      </c>
      <c r="C63" s="1" t="s">
        <v>156</v>
      </c>
      <c r="D63" s="1" t="s">
        <v>23</v>
      </c>
      <c r="E63" s="1" t="s">
        <v>57</v>
      </c>
      <c r="F63" s="1" t="s">
        <v>29</v>
      </c>
      <c r="G63" s="1" t="s">
        <v>41</v>
      </c>
      <c r="H63" s="1" t="s">
        <v>31</v>
      </c>
      <c r="I63" s="1">
        <v>1</v>
      </c>
      <c r="J63" s="4">
        <v>41059000</v>
      </c>
      <c r="K63" s="4">
        <v>37090000</v>
      </c>
      <c r="L63" s="4">
        <v>3969000</v>
      </c>
      <c r="M63" s="1" t="s">
        <v>20</v>
      </c>
    </row>
    <row r="64" spans="1:13">
      <c r="A64" s="1" t="s">
        <v>157</v>
      </c>
      <c r="B64" s="3">
        <v>45968</v>
      </c>
      <c r="C64" s="1" t="s">
        <v>149</v>
      </c>
      <c r="D64" s="1" t="s">
        <v>15</v>
      </c>
      <c r="E64" s="1" t="s">
        <v>57</v>
      </c>
      <c r="F64" s="1" t="s">
        <v>29</v>
      </c>
      <c r="G64" s="1" t="s">
        <v>41</v>
      </c>
      <c r="H64" s="1" t="s">
        <v>19</v>
      </c>
      <c r="I64" s="1">
        <v>1</v>
      </c>
      <c r="J64" s="4">
        <v>36900000</v>
      </c>
      <c r="K64" s="4">
        <v>37150000</v>
      </c>
      <c r="L64" s="4">
        <v>-250000</v>
      </c>
      <c r="M64" s="1" t="s">
        <v>20</v>
      </c>
    </row>
    <row r="65" spans="1:13">
      <c r="A65" s="1" t="s">
        <v>158</v>
      </c>
      <c r="B65" s="3">
        <v>46004</v>
      </c>
      <c r="C65" s="1" t="s">
        <v>159</v>
      </c>
      <c r="D65" s="1" t="s">
        <v>23</v>
      </c>
      <c r="E65" s="1" t="s">
        <v>64</v>
      </c>
      <c r="F65" s="1" t="s">
        <v>29</v>
      </c>
      <c r="G65" s="1" t="s">
        <v>18</v>
      </c>
      <c r="H65" s="1" t="s">
        <v>37</v>
      </c>
      <c r="I65" s="1">
        <v>2</v>
      </c>
      <c r="J65" s="4">
        <v>42494000</v>
      </c>
      <c r="K65" s="4">
        <v>36937000</v>
      </c>
      <c r="L65" s="4">
        <v>5557000</v>
      </c>
      <c r="M65" s="1" t="s">
        <v>20</v>
      </c>
    </row>
    <row r="66" spans="1:13">
      <c r="A66" s="1" t="s">
        <v>160</v>
      </c>
      <c r="B66" s="3">
        <v>45812</v>
      </c>
      <c r="C66" s="1" t="s">
        <v>161</v>
      </c>
      <c r="D66" s="1" t="s">
        <v>15</v>
      </c>
      <c r="E66" s="1" t="s">
        <v>40</v>
      </c>
      <c r="F66" s="1" t="s">
        <v>29</v>
      </c>
      <c r="G66" s="1" t="s">
        <v>41</v>
      </c>
      <c r="H66" s="1" t="s">
        <v>34</v>
      </c>
      <c r="I66" s="1">
        <v>1</v>
      </c>
      <c r="J66" s="4">
        <v>18453000</v>
      </c>
      <c r="K66" s="4">
        <v>20360000</v>
      </c>
      <c r="L66" s="4">
        <v>-1907000</v>
      </c>
      <c r="M66" s="1" t="s">
        <v>20</v>
      </c>
    </row>
    <row r="67" spans="1:13">
      <c r="A67" s="1" t="s">
        <v>162</v>
      </c>
      <c r="B67" s="3">
        <v>45917</v>
      </c>
      <c r="C67" s="1" t="s">
        <v>163</v>
      </c>
      <c r="D67" s="1" t="s">
        <v>23</v>
      </c>
      <c r="E67" s="1" t="s">
        <v>60</v>
      </c>
      <c r="F67" s="1" t="s">
        <v>61</v>
      </c>
      <c r="G67" s="1" t="s">
        <v>49</v>
      </c>
      <c r="H67" s="1" t="s">
        <v>37</v>
      </c>
      <c r="I67" s="1">
        <v>1</v>
      </c>
      <c r="J67" s="4">
        <v>61227000</v>
      </c>
      <c r="K67" s="4">
        <v>50164000</v>
      </c>
      <c r="L67" s="4">
        <v>11063000</v>
      </c>
      <c r="M67" s="1" t="s">
        <v>20</v>
      </c>
    </row>
    <row r="68" spans="1:13">
      <c r="A68" s="1" t="s">
        <v>164</v>
      </c>
      <c r="B68" s="3">
        <v>45736</v>
      </c>
      <c r="C68" s="1" t="s">
        <v>165</v>
      </c>
      <c r="D68" s="1" t="s">
        <v>15</v>
      </c>
      <c r="E68" s="1" t="s">
        <v>44</v>
      </c>
      <c r="F68" s="1" t="s">
        <v>17</v>
      </c>
      <c r="G68" s="1" t="s">
        <v>49</v>
      </c>
      <c r="H68" s="1" t="s">
        <v>25</v>
      </c>
      <c r="I68" s="1">
        <v>2</v>
      </c>
      <c r="J68" s="4">
        <v>51681000</v>
      </c>
      <c r="K68" s="4">
        <v>44944000</v>
      </c>
      <c r="L68" s="4">
        <v>6737000</v>
      </c>
      <c r="M68" s="1" t="s">
        <v>20</v>
      </c>
    </row>
    <row r="69" spans="1:13">
      <c r="A69" s="1" t="s">
        <v>166</v>
      </c>
      <c r="B69" s="3">
        <v>45961</v>
      </c>
      <c r="C69" s="1" t="s">
        <v>167</v>
      </c>
      <c r="D69" s="1" t="s">
        <v>15</v>
      </c>
      <c r="E69" s="1" t="s">
        <v>54</v>
      </c>
      <c r="F69" s="1" t="s">
        <v>17</v>
      </c>
      <c r="G69" s="1" t="s">
        <v>24</v>
      </c>
      <c r="H69" s="1" t="s">
        <v>19</v>
      </c>
      <c r="I69" s="1">
        <v>2</v>
      </c>
      <c r="J69" s="4">
        <v>54222000</v>
      </c>
      <c r="K69" s="4">
        <v>48171000</v>
      </c>
      <c r="L69" s="4">
        <v>6051000</v>
      </c>
      <c r="M69" s="1" t="s">
        <v>20</v>
      </c>
    </row>
    <row r="70" spans="1:13">
      <c r="A70" s="1" t="s">
        <v>168</v>
      </c>
      <c r="B70" s="3">
        <v>46000</v>
      </c>
      <c r="C70" s="1" t="s">
        <v>169</v>
      </c>
      <c r="D70" s="1" t="s">
        <v>23</v>
      </c>
      <c r="E70" s="1" t="s">
        <v>44</v>
      </c>
      <c r="F70" s="1" t="s">
        <v>17</v>
      </c>
      <c r="G70" s="1" t="s">
        <v>41</v>
      </c>
      <c r="H70" s="1" t="s">
        <v>19</v>
      </c>
      <c r="I70" s="1">
        <v>2</v>
      </c>
      <c r="J70" s="4">
        <v>51073000</v>
      </c>
      <c r="K70" s="4">
        <v>42345000</v>
      </c>
      <c r="L70" s="4">
        <v>8728000</v>
      </c>
      <c r="M70" s="1" t="s">
        <v>20</v>
      </c>
    </row>
    <row r="71" spans="1:13">
      <c r="A71" s="1" t="s">
        <v>170</v>
      </c>
      <c r="B71" s="3">
        <v>46017</v>
      </c>
      <c r="C71" s="1" t="s">
        <v>171</v>
      </c>
      <c r="D71" s="1" t="s">
        <v>23</v>
      </c>
      <c r="E71" s="1" t="s">
        <v>64</v>
      </c>
      <c r="F71" s="1" t="s">
        <v>29</v>
      </c>
      <c r="G71" s="1" t="s">
        <v>30</v>
      </c>
      <c r="H71" s="1" t="s">
        <v>37</v>
      </c>
      <c r="I71" s="1">
        <v>1</v>
      </c>
      <c r="J71" s="4">
        <v>21226000</v>
      </c>
      <c r="K71" s="4">
        <v>17827000</v>
      </c>
      <c r="L71" s="4">
        <v>3399000</v>
      </c>
      <c r="M71" s="1" t="s">
        <v>20</v>
      </c>
    </row>
    <row r="72" spans="1:13">
      <c r="A72" s="1" t="s">
        <v>172</v>
      </c>
      <c r="B72" s="3">
        <v>45901</v>
      </c>
      <c r="C72" s="1" t="s">
        <v>173</v>
      </c>
      <c r="D72" s="1" t="s">
        <v>23</v>
      </c>
      <c r="E72" s="1" t="s">
        <v>60</v>
      </c>
      <c r="F72" s="1" t="s">
        <v>61</v>
      </c>
      <c r="G72" s="1" t="s">
        <v>24</v>
      </c>
      <c r="H72" s="1" t="s">
        <v>110</v>
      </c>
      <c r="I72" s="1">
        <v>1</v>
      </c>
      <c r="J72" s="4">
        <v>58078000</v>
      </c>
      <c r="K72" s="4">
        <v>49094000</v>
      </c>
      <c r="L72" s="4">
        <v>8984000</v>
      </c>
      <c r="M72" s="1" t="s">
        <v>20</v>
      </c>
    </row>
    <row r="73" spans="1:13">
      <c r="A73" s="1" t="s">
        <v>174</v>
      </c>
      <c r="B73" s="3">
        <v>45900</v>
      </c>
      <c r="C73" s="1" t="s">
        <v>173</v>
      </c>
      <c r="D73" s="1" t="s">
        <v>23</v>
      </c>
      <c r="E73" s="1" t="s">
        <v>57</v>
      </c>
      <c r="F73" s="1" t="s">
        <v>29</v>
      </c>
      <c r="G73" s="1" t="s">
        <v>41</v>
      </c>
      <c r="H73" s="1" t="s">
        <v>31</v>
      </c>
      <c r="I73" s="1">
        <v>3</v>
      </c>
      <c r="J73" s="4">
        <v>130490000</v>
      </c>
      <c r="K73" s="4">
        <v>104922000</v>
      </c>
      <c r="L73" s="4">
        <v>25568000</v>
      </c>
      <c r="M73" s="1" t="s">
        <v>20</v>
      </c>
    </row>
    <row r="74" spans="1:13">
      <c r="A74" s="1" t="s">
        <v>175</v>
      </c>
      <c r="B74" s="3">
        <v>45719</v>
      </c>
      <c r="C74" s="1" t="s">
        <v>123</v>
      </c>
      <c r="D74" s="1" t="s">
        <v>23</v>
      </c>
      <c r="E74" s="1" t="s">
        <v>40</v>
      </c>
      <c r="F74" s="1" t="s">
        <v>29</v>
      </c>
      <c r="G74" s="1" t="s">
        <v>49</v>
      </c>
      <c r="H74" s="1" t="s">
        <v>110</v>
      </c>
      <c r="I74" s="1">
        <v>1</v>
      </c>
      <c r="J74" s="4">
        <v>25527000</v>
      </c>
      <c r="K74" s="4">
        <v>20177000</v>
      </c>
      <c r="L74" s="4">
        <v>5350000</v>
      </c>
      <c r="M74" s="1" t="s">
        <v>20</v>
      </c>
    </row>
    <row r="75" spans="1:13">
      <c r="A75" s="1" t="s">
        <v>176</v>
      </c>
      <c r="B75" s="3">
        <v>45959</v>
      </c>
      <c r="C75" s="1" t="s">
        <v>177</v>
      </c>
      <c r="D75" s="1" t="s">
        <v>23</v>
      </c>
      <c r="E75" s="1" t="s">
        <v>64</v>
      </c>
      <c r="F75" s="1" t="s">
        <v>29</v>
      </c>
      <c r="G75" s="1" t="s">
        <v>41</v>
      </c>
      <c r="H75" s="1" t="s">
        <v>34</v>
      </c>
      <c r="I75" s="1">
        <v>1</v>
      </c>
      <c r="J75" s="4">
        <v>20968000</v>
      </c>
      <c r="K75" s="4">
        <v>17740000</v>
      </c>
      <c r="L75" s="4">
        <v>3228000</v>
      </c>
      <c r="M75" s="1" t="s">
        <v>20</v>
      </c>
    </row>
    <row r="76" spans="1:13">
      <c r="A76" s="1" t="s">
        <v>178</v>
      </c>
      <c r="B76" s="3">
        <v>46020</v>
      </c>
      <c r="C76" s="1" t="s">
        <v>179</v>
      </c>
      <c r="D76" s="1" t="s">
        <v>23</v>
      </c>
      <c r="E76" s="1" t="s">
        <v>57</v>
      </c>
      <c r="F76" s="1" t="s">
        <v>29</v>
      </c>
      <c r="G76" s="1" t="s">
        <v>49</v>
      </c>
      <c r="H76" s="1" t="s">
        <v>34</v>
      </c>
      <c r="I76" s="1">
        <v>3</v>
      </c>
      <c r="J76" s="4">
        <v>130540000</v>
      </c>
      <c r="K76" s="4">
        <v>108602000</v>
      </c>
      <c r="L76" s="4">
        <v>21938000</v>
      </c>
      <c r="M76" s="1" t="s">
        <v>20</v>
      </c>
    </row>
    <row r="77" spans="1:13">
      <c r="A77" s="1" t="s">
        <v>180</v>
      </c>
      <c r="B77" s="3">
        <v>45664</v>
      </c>
      <c r="C77" s="1" t="s">
        <v>181</v>
      </c>
      <c r="D77" s="1" t="s">
        <v>23</v>
      </c>
      <c r="E77" s="1" t="s">
        <v>57</v>
      </c>
      <c r="F77" s="1" t="s">
        <v>29</v>
      </c>
      <c r="G77" s="1" t="s">
        <v>18</v>
      </c>
      <c r="H77" s="1" t="s">
        <v>34</v>
      </c>
      <c r="I77" s="1">
        <v>1</v>
      </c>
      <c r="J77" s="4">
        <v>41451000</v>
      </c>
      <c r="K77" s="4">
        <v>33907000</v>
      </c>
      <c r="L77" s="4">
        <v>7544000</v>
      </c>
      <c r="M77" s="1" t="s">
        <v>69</v>
      </c>
    </row>
    <row r="78" spans="1:13">
      <c r="A78" s="1" t="s">
        <v>182</v>
      </c>
      <c r="B78" s="3">
        <v>45863</v>
      </c>
      <c r="C78" s="1" t="s">
        <v>68</v>
      </c>
      <c r="D78" s="1" t="s">
        <v>15</v>
      </c>
      <c r="E78" s="1" t="s">
        <v>28</v>
      </c>
      <c r="F78" s="1" t="s">
        <v>29</v>
      </c>
      <c r="G78" s="1" t="s">
        <v>30</v>
      </c>
      <c r="H78" s="1" t="s">
        <v>34</v>
      </c>
      <c r="I78" s="1">
        <v>1</v>
      </c>
      <c r="J78" s="4">
        <v>49906000</v>
      </c>
      <c r="K78" s="4">
        <v>44853000</v>
      </c>
      <c r="L78" s="4">
        <v>5053000</v>
      </c>
      <c r="M78" s="1" t="s">
        <v>69</v>
      </c>
    </row>
    <row r="79" spans="1:13">
      <c r="A79" s="1" t="s">
        <v>183</v>
      </c>
      <c r="B79" s="3">
        <v>45943</v>
      </c>
      <c r="C79" s="1" t="s">
        <v>184</v>
      </c>
      <c r="D79" s="1" t="s">
        <v>23</v>
      </c>
      <c r="E79" s="1" t="s">
        <v>40</v>
      </c>
      <c r="F79" s="1" t="s">
        <v>29</v>
      </c>
      <c r="G79" s="1" t="s">
        <v>41</v>
      </c>
      <c r="H79" s="1" t="s">
        <v>19</v>
      </c>
      <c r="I79" s="1">
        <v>1</v>
      </c>
      <c r="J79" s="4">
        <v>23264000</v>
      </c>
      <c r="K79" s="4">
        <v>19845000</v>
      </c>
      <c r="L79" s="4">
        <v>3419000</v>
      </c>
      <c r="M79" s="1" t="s">
        <v>20</v>
      </c>
    </row>
    <row r="80" spans="1:13">
      <c r="A80" s="1" t="s">
        <v>185</v>
      </c>
      <c r="B80" s="3">
        <v>45877</v>
      </c>
      <c r="C80" s="1" t="s">
        <v>48</v>
      </c>
      <c r="D80" s="1" t="s">
        <v>15</v>
      </c>
      <c r="E80" s="1" t="s">
        <v>54</v>
      </c>
      <c r="F80" s="1" t="s">
        <v>17</v>
      </c>
      <c r="G80" s="1" t="s">
        <v>41</v>
      </c>
      <c r="H80" s="1" t="s">
        <v>37</v>
      </c>
      <c r="I80" s="1">
        <v>1</v>
      </c>
      <c r="J80" s="4">
        <v>29532000</v>
      </c>
      <c r="K80" s="4">
        <v>24238000</v>
      </c>
      <c r="L80" s="4">
        <v>5294000</v>
      </c>
      <c r="M80" s="1" t="s">
        <v>20</v>
      </c>
    </row>
    <row r="81" spans="1:13">
      <c r="A81" s="1" t="s">
        <v>186</v>
      </c>
      <c r="B81" s="3">
        <v>45699</v>
      </c>
      <c r="C81" s="1" t="s">
        <v>187</v>
      </c>
      <c r="D81" s="1" t="s">
        <v>23</v>
      </c>
      <c r="E81" s="1" t="s">
        <v>16</v>
      </c>
      <c r="F81" s="1" t="s">
        <v>17</v>
      </c>
      <c r="G81" s="1" t="s">
        <v>18</v>
      </c>
      <c r="H81" s="1" t="s">
        <v>31</v>
      </c>
      <c r="I81" s="1">
        <v>1</v>
      </c>
      <c r="J81" s="4">
        <v>16926000</v>
      </c>
      <c r="K81" s="4">
        <v>14428000</v>
      </c>
      <c r="L81" s="4">
        <v>2498000</v>
      </c>
      <c r="M81" s="1" t="s">
        <v>20</v>
      </c>
    </row>
    <row r="82" spans="1:13">
      <c r="A82" s="1" t="s">
        <v>188</v>
      </c>
      <c r="B82" s="3">
        <v>45805</v>
      </c>
      <c r="C82" s="1" t="s">
        <v>53</v>
      </c>
      <c r="D82" s="1" t="s">
        <v>15</v>
      </c>
      <c r="E82" s="1" t="s">
        <v>40</v>
      </c>
      <c r="F82" s="1" t="s">
        <v>29</v>
      </c>
      <c r="G82" s="1" t="s">
        <v>24</v>
      </c>
      <c r="H82" s="1" t="s">
        <v>37</v>
      </c>
      <c r="I82" s="1">
        <v>1</v>
      </c>
      <c r="J82" s="4">
        <v>24705000</v>
      </c>
      <c r="K82" s="4">
        <v>20639000</v>
      </c>
      <c r="L82" s="4">
        <v>4066000</v>
      </c>
      <c r="M82" s="1" t="s">
        <v>20</v>
      </c>
    </row>
    <row r="83" spans="1:13">
      <c r="A83" s="1" t="s">
        <v>189</v>
      </c>
      <c r="B83" s="3">
        <v>45759</v>
      </c>
      <c r="C83" s="1" t="s">
        <v>190</v>
      </c>
      <c r="D83" s="1" t="s">
        <v>23</v>
      </c>
      <c r="E83" s="1" t="s">
        <v>44</v>
      </c>
      <c r="F83" s="1" t="s">
        <v>17</v>
      </c>
      <c r="G83" s="1" t="s">
        <v>41</v>
      </c>
      <c r="H83" s="1" t="s">
        <v>19</v>
      </c>
      <c r="I83" s="1">
        <v>1</v>
      </c>
      <c r="J83" s="4">
        <v>28039000</v>
      </c>
      <c r="K83" s="4">
        <v>22512000</v>
      </c>
      <c r="L83" s="4">
        <v>5527000</v>
      </c>
      <c r="M83" s="1" t="s">
        <v>20</v>
      </c>
    </row>
    <row r="84" spans="1:13">
      <c r="A84" s="1" t="s">
        <v>191</v>
      </c>
      <c r="B84" s="3">
        <v>45949</v>
      </c>
      <c r="C84" s="1" t="s">
        <v>192</v>
      </c>
      <c r="D84" s="1" t="s">
        <v>23</v>
      </c>
      <c r="E84" s="1" t="s">
        <v>64</v>
      </c>
      <c r="F84" s="1" t="s">
        <v>29</v>
      </c>
      <c r="G84" s="1" t="s">
        <v>49</v>
      </c>
      <c r="H84" s="1" t="s">
        <v>25</v>
      </c>
      <c r="I84" s="1">
        <v>1</v>
      </c>
      <c r="J84" s="4">
        <v>21550000</v>
      </c>
      <c r="K84" s="4">
        <v>18122000</v>
      </c>
      <c r="L84" s="4">
        <v>3428000</v>
      </c>
      <c r="M84" s="1" t="s">
        <v>20</v>
      </c>
    </row>
    <row r="85" spans="1:13">
      <c r="A85" s="1" t="s">
        <v>193</v>
      </c>
      <c r="B85" s="3">
        <v>45699</v>
      </c>
      <c r="C85" s="1" t="s">
        <v>194</v>
      </c>
      <c r="D85" s="1" t="s">
        <v>15</v>
      </c>
      <c r="E85" s="1" t="s">
        <v>57</v>
      </c>
      <c r="F85" s="1" t="s">
        <v>29</v>
      </c>
      <c r="G85" s="1" t="s">
        <v>24</v>
      </c>
      <c r="H85" s="1" t="s">
        <v>19</v>
      </c>
      <c r="I85" s="1">
        <v>1</v>
      </c>
      <c r="J85" s="4">
        <v>43795000</v>
      </c>
      <c r="K85" s="4">
        <v>33817000</v>
      </c>
      <c r="L85" s="4">
        <v>9978000</v>
      </c>
      <c r="M85" s="1" t="s">
        <v>20</v>
      </c>
    </row>
    <row r="86" spans="1:13">
      <c r="A86" s="1" t="s">
        <v>195</v>
      </c>
      <c r="B86" s="3">
        <v>45668</v>
      </c>
      <c r="C86" s="1" t="s">
        <v>196</v>
      </c>
      <c r="D86" s="1" t="s">
        <v>15</v>
      </c>
      <c r="E86" s="1" t="s">
        <v>64</v>
      </c>
      <c r="F86" s="1" t="s">
        <v>29</v>
      </c>
      <c r="G86" s="1" t="s">
        <v>49</v>
      </c>
      <c r="H86" s="1" t="s">
        <v>110</v>
      </c>
      <c r="I86" s="1">
        <v>1</v>
      </c>
      <c r="J86" s="4">
        <v>20795000</v>
      </c>
      <c r="K86" s="4">
        <v>18769000</v>
      </c>
      <c r="L86" s="4">
        <v>2026000</v>
      </c>
      <c r="M86" s="1" t="s">
        <v>20</v>
      </c>
    </row>
    <row r="87" spans="1:13">
      <c r="A87" s="1" t="s">
        <v>197</v>
      </c>
      <c r="B87" s="3">
        <v>45750</v>
      </c>
      <c r="C87" s="1" t="s">
        <v>198</v>
      </c>
      <c r="D87" s="1" t="s">
        <v>23</v>
      </c>
      <c r="E87" s="1" t="s">
        <v>64</v>
      </c>
      <c r="F87" s="1" t="s">
        <v>29</v>
      </c>
      <c r="G87" s="1" t="s">
        <v>18</v>
      </c>
      <c r="H87" s="1" t="s">
        <v>31</v>
      </c>
      <c r="I87" s="1">
        <v>1</v>
      </c>
      <c r="J87" s="4">
        <v>23451000</v>
      </c>
      <c r="K87" s="4">
        <v>18245000</v>
      </c>
      <c r="L87" s="4">
        <v>5206000</v>
      </c>
      <c r="M87" s="1" t="s">
        <v>20</v>
      </c>
    </row>
    <row r="88" spans="1:13">
      <c r="A88" s="1" t="s">
        <v>199</v>
      </c>
      <c r="B88" s="3">
        <v>45826</v>
      </c>
      <c r="C88" s="1" t="s">
        <v>200</v>
      </c>
      <c r="D88" s="1" t="s">
        <v>23</v>
      </c>
      <c r="E88" s="1" t="s">
        <v>44</v>
      </c>
      <c r="F88" s="1" t="s">
        <v>17</v>
      </c>
      <c r="G88" s="1" t="s">
        <v>41</v>
      </c>
      <c r="H88" s="1" t="s">
        <v>110</v>
      </c>
      <c r="I88" s="1">
        <v>1</v>
      </c>
      <c r="J88" s="4">
        <v>18928000</v>
      </c>
      <c r="K88" s="4">
        <v>22368000</v>
      </c>
      <c r="L88" s="4">
        <v>-3440000</v>
      </c>
      <c r="M88" s="1" t="s">
        <v>20</v>
      </c>
    </row>
    <row r="89" spans="1:13">
      <c r="A89" s="1" t="s">
        <v>201</v>
      </c>
      <c r="B89" s="3">
        <v>45823</v>
      </c>
      <c r="C89" s="1" t="s">
        <v>167</v>
      </c>
      <c r="D89" s="1" t="s">
        <v>15</v>
      </c>
      <c r="E89" s="1" t="s">
        <v>16</v>
      </c>
      <c r="F89" s="1" t="s">
        <v>17</v>
      </c>
      <c r="G89" s="1" t="s">
        <v>49</v>
      </c>
      <c r="H89" s="1" t="s">
        <v>34</v>
      </c>
      <c r="I89" s="1">
        <v>2</v>
      </c>
      <c r="J89" s="4">
        <v>27144000</v>
      </c>
      <c r="K89" s="4">
        <v>27553000</v>
      </c>
      <c r="L89" s="4">
        <v>-409000</v>
      </c>
      <c r="M89" s="1" t="s">
        <v>20</v>
      </c>
    </row>
    <row r="90" spans="1:13">
      <c r="A90" s="1" t="s">
        <v>202</v>
      </c>
      <c r="B90" s="3">
        <v>45754</v>
      </c>
      <c r="C90" s="1" t="s">
        <v>203</v>
      </c>
      <c r="D90" s="1" t="s">
        <v>15</v>
      </c>
      <c r="E90" s="1" t="s">
        <v>28</v>
      </c>
      <c r="F90" s="1" t="s">
        <v>29</v>
      </c>
      <c r="G90" s="1" t="s">
        <v>41</v>
      </c>
      <c r="H90" s="1" t="s">
        <v>25</v>
      </c>
      <c r="I90" s="1">
        <v>1</v>
      </c>
      <c r="J90" s="4">
        <v>51868000</v>
      </c>
      <c r="K90" s="4">
        <v>41550000</v>
      </c>
      <c r="L90" s="4">
        <v>10318000</v>
      </c>
      <c r="M90" s="1" t="s">
        <v>20</v>
      </c>
    </row>
    <row r="91" spans="1:13">
      <c r="A91" s="1" t="s">
        <v>204</v>
      </c>
      <c r="B91" s="3">
        <v>46015</v>
      </c>
      <c r="C91" s="1" t="s">
        <v>205</v>
      </c>
      <c r="D91" s="1" t="s">
        <v>23</v>
      </c>
      <c r="E91" s="1" t="s">
        <v>28</v>
      </c>
      <c r="F91" s="1" t="s">
        <v>29</v>
      </c>
      <c r="G91" s="1" t="s">
        <v>24</v>
      </c>
      <c r="H91" s="1" t="s">
        <v>25</v>
      </c>
      <c r="I91" s="1">
        <v>1</v>
      </c>
      <c r="J91" s="4">
        <v>54283000</v>
      </c>
      <c r="K91" s="4">
        <v>44413000</v>
      </c>
      <c r="L91" s="4">
        <v>9870000</v>
      </c>
      <c r="M91" s="1" t="s">
        <v>20</v>
      </c>
    </row>
    <row r="92" spans="1:13">
      <c r="A92" s="1" t="s">
        <v>206</v>
      </c>
      <c r="B92" s="3">
        <v>45705</v>
      </c>
      <c r="C92" s="1" t="s">
        <v>114</v>
      </c>
      <c r="D92" s="1" t="s">
        <v>15</v>
      </c>
      <c r="E92" s="1" t="s">
        <v>54</v>
      </c>
      <c r="F92" s="1" t="s">
        <v>17</v>
      </c>
      <c r="G92" s="1" t="s">
        <v>41</v>
      </c>
      <c r="H92" s="1" t="s">
        <v>19</v>
      </c>
      <c r="I92" s="1">
        <v>1</v>
      </c>
      <c r="J92" s="4">
        <v>30299000</v>
      </c>
      <c r="K92" s="4">
        <v>23543000</v>
      </c>
      <c r="L92" s="4">
        <v>6756000</v>
      </c>
      <c r="M92" s="1" t="s">
        <v>20</v>
      </c>
    </row>
    <row r="93" spans="1:13">
      <c r="A93" s="1" t="s">
        <v>207</v>
      </c>
      <c r="B93" s="3">
        <v>46019</v>
      </c>
      <c r="C93" s="1" t="s">
        <v>208</v>
      </c>
      <c r="D93" s="1" t="s">
        <v>15</v>
      </c>
      <c r="E93" s="1" t="s">
        <v>54</v>
      </c>
      <c r="F93" s="1" t="s">
        <v>17</v>
      </c>
      <c r="G93" s="1" t="s">
        <v>24</v>
      </c>
      <c r="H93" s="1" t="s">
        <v>19</v>
      </c>
      <c r="I93" s="1">
        <v>3</v>
      </c>
      <c r="J93" s="4">
        <v>83079000</v>
      </c>
      <c r="K93" s="4">
        <v>69957000</v>
      </c>
      <c r="L93" s="4">
        <v>13122000</v>
      </c>
      <c r="M93" s="1" t="s">
        <v>20</v>
      </c>
    </row>
    <row r="94" spans="1:13">
      <c r="A94" s="1" t="s">
        <v>209</v>
      </c>
      <c r="B94" s="3">
        <v>45727</v>
      </c>
      <c r="C94" s="1" t="s">
        <v>210</v>
      </c>
      <c r="D94" s="1" t="s">
        <v>23</v>
      </c>
      <c r="E94" s="1" t="s">
        <v>64</v>
      </c>
      <c r="F94" s="1" t="s">
        <v>29</v>
      </c>
      <c r="G94" s="1" t="s">
        <v>18</v>
      </c>
      <c r="H94" s="1" t="s">
        <v>110</v>
      </c>
      <c r="I94" s="1">
        <v>1</v>
      </c>
      <c r="J94" s="4">
        <v>21867000</v>
      </c>
      <c r="K94" s="4">
        <v>19095000</v>
      </c>
      <c r="L94" s="4">
        <v>2772000</v>
      </c>
      <c r="M94" s="1" t="s">
        <v>20</v>
      </c>
    </row>
    <row r="95" spans="1:13">
      <c r="A95" s="1" t="s">
        <v>211</v>
      </c>
      <c r="B95" s="3">
        <v>45810</v>
      </c>
      <c r="C95" s="1" t="s">
        <v>105</v>
      </c>
      <c r="D95" s="1" t="s">
        <v>15</v>
      </c>
      <c r="E95" s="1" t="s">
        <v>40</v>
      </c>
      <c r="F95" s="1" t="s">
        <v>29</v>
      </c>
      <c r="G95" s="1" t="s">
        <v>24</v>
      </c>
      <c r="H95" s="1" t="s">
        <v>19</v>
      </c>
      <c r="I95" s="1">
        <v>1</v>
      </c>
      <c r="J95" s="4">
        <v>18187000</v>
      </c>
      <c r="K95" s="4">
        <v>19694000</v>
      </c>
      <c r="L95" s="4">
        <v>-1507000</v>
      </c>
      <c r="M95" s="1" t="s">
        <v>20</v>
      </c>
    </row>
    <row r="96" spans="1:13">
      <c r="A96" s="1" t="s">
        <v>212</v>
      </c>
      <c r="B96" s="3">
        <v>45851</v>
      </c>
      <c r="C96" s="1" t="s">
        <v>46</v>
      </c>
      <c r="D96" s="1" t="s">
        <v>23</v>
      </c>
      <c r="E96" s="1" t="s">
        <v>28</v>
      </c>
      <c r="F96" s="1" t="s">
        <v>29</v>
      </c>
      <c r="G96" s="1" t="s">
        <v>49</v>
      </c>
      <c r="H96" s="1" t="s">
        <v>34</v>
      </c>
      <c r="I96" s="1">
        <v>1</v>
      </c>
      <c r="J96" s="4">
        <v>53595000</v>
      </c>
      <c r="K96" s="4">
        <v>43812000</v>
      </c>
      <c r="L96" s="4">
        <v>9783000</v>
      </c>
      <c r="M96" s="1" t="s">
        <v>20</v>
      </c>
    </row>
    <row r="97" spans="1:13">
      <c r="A97" s="1" t="s">
        <v>213</v>
      </c>
      <c r="B97" s="3">
        <v>45820</v>
      </c>
      <c r="C97" s="1" t="s">
        <v>214</v>
      </c>
      <c r="D97" s="1" t="s">
        <v>15</v>
      </c>
      <c r="E97" s="1" t="s">
        <v>40</v>
      </c>
      <c r="F97" s="1" t="s">
        <v>29</v>
      </c>
      <c r="G97" s="1" t="s">
        <v>49</v>
      </c>
      <c r="H97" s="1" t="s">
        <v>34</v>
      </c>
      <c r="I97" s="1">
        <v>1</v>
      </c>
      <c r="J97" s="4">
        <v>17110000</v>
      </c>
      <c r="K97" s="4">
        <v>20124000</v>
      </c>
      <c r="L97" s="4">
        <v>-3014000</v>
      </c>
      <c r="M97" s="1" t="s">
        <v>20</v>
      </c>
    </row>
    <row r="98" spans="1:13">
      <c r="A98" s="1" t="s">
        <v>215</v>
      </c>
      <c r="B98" s="3">
        <v>45722</v>
      </c>
      <c r="C98" s="1" t="s">
        <v>59</v>
      </c>
      <c r="D98" s="1" t="s">
        <v>15</v>
      </c>
      <c r="E98" s="1" t="s">
        <v>28</v>
      </c>
      <c r="F98" s="1" t="s">
        <v>29</v>
      </c>
      <c r="G98" s="1" t="s">
        <v>18</v>
      </c>
      <c r="H98" s="1" t="s">
        <v>37</v>
      </c>
      <c r="I98" s="1">
        <v>2</v>
      </c>
      <c r="J98" s="4">
        <v>109579000</v>
      </c>
      <c r="K98" s="4">
        <v>86481000</v>
      </c>
      <c r="L98" s="4">
        <v>23098000</v>
      </c>
      <c r="M98" s="1" t="s">
        <v>20</v>
      </c>
    </row>
    <row r="99" spans="1:13">
      <c r="A99" s="1" t="s">
        <v>216</v>
      </c>
      <c r="B99" s="3">
        <v>45731</v>
      </c>
      <c r="C99" s="1" t="s">
        <v>217</v>
      </c>
      <c r="D99" s="1" t="s">
        <v>15</v>
      </c>
      <c r="E99" s="1" t="s">
        <v>44</v>
      </c>
      <c r="F99" s="1" t="s">
        <v>17</v>
      </c>
      <c r="G99" s="1" t="s">
        <v>49</v>
      </c>
      <c r="H99" s="1" t="s">
        <v>37</v>
      </c>
      <c r="I99" s="1">
        <v>1</v>
      </c>
      <c r="J99" s="4">
        <v>26527000</v>
      </c>
      <c r="K99" s="4">
        <v>22823000</v>
      </c>
      <c r="L99" s="4">
        <v>3704000</v>
      </c>
      <c r="M99" s="1" t="s">
        <v>20</v>
      </c>
    </row>
    <row r="100" spans="1:13">
      <c r="A100" s="1" t="s">
        <v>218</v>
      </c>
      <c r="B100" s="3">
        <v>45699</v>
      </c>
      <c r="C100" s="1" t="s">
        <v>219</v>
      </c>
      <c r="D100" s="1" t="s">
        <v>15</v>
      </c>
      <c r="E100" s="1" t="s">
        <v>64</v>
      </c>
      <c r="F100" s="1" t="s">
        <v>29</v>
      </c>
      <c r="G100" s="1" t="s">
        <v>49</v>
      </c>
      <c r="H100" s="1" t="s">
        <v>19</v>
      </c>
      <c r="I100" s="1">
        <v>2</v>
      </c>
      <c r="J100" s="4">
        <v>43534000</v>
      </c>
      <c r="K100" s="4">
        <v>35929000</v>
      </c>
      <c r="L100" s="4">
        <v>7605000</v>
      </c>
      <c r="M100" s="1" t="s">
        <v>20</v>
      </c>
    </row>
    <row r="101" spans="1:13">
      <c r="A101" s="1" t="s">
        <v>220</v>
      </c>
      <c r="B101" s="3">
        <v>45676</v>
      </c>
      <c r="C101" s="1" t="s">
        <v>97</v>
      </c>
      <c r="D101" s="1" t="s">
        <v>23</v>
      </c>
      <c r="E101" s="1" t="s">
        <v>57</v>
      </c>
      <c r="F101" s="1" t="s">
        <v>29</v>
      </c>
      <c r="G101" s="1" t="s">
        <v>18</v>
      </c>
      <c r="H101" s="1" t="s">
        <v>25</v>
      </c>
      <c r="I101" s="1">
        <v>1</v>
      </c>
      <c r="J101" s="4">
        <v>42026000</v>
      </c>
      <c r="K101" s="4">
        <v>34533000</v>
      </c>
      <c r="L101" s="4">
        <v>7493000</v>
      </c>
      <c r="M101" s="1" t="s">
        <v>20</v>
      </c>
    </row>
    <row r="102" spans="1:13">
      <c r="A102" s="1" t="s">
        <v>221</v>
      </c>
      <c r="B102" s="3">
        <v>45743</v>
      </c>
      <c r="C102" s="1" t="s">
        <v>222</v>
      </c>
      <c r="D102" s="1" t="s">
        <v>15</v>
      </c>
      <c r="E102" s="1" t="s">
        <v>40</v>
      </c>
      <c r="F102" s="1" t="s">
        <v>29</v>
      </c>
      <c r="G102" s="1" t="s">
        <v>30</v>
      </c>
      <c r="H102" s="1" t="s">
        <v>19</v>
      </c>
      <c r="I102" s="1">
        <v>1</v>
      </c>
      <c r="J102" s="4">
        <v>25044000</v>
      </c>
      <c r="K102" s="4">
        <v>19391000</v>
      </c>
      <c r="L102" s="4">
        <v>5653000</v>
      </c>
      <c r="M102" s="1" t="s">
        <v>20</v>
      </c>
    </row>
    <row r="103" spans="1:13">
      <c r="A103" s="1" t="s">
        <v>223</v>
      </c>
      <c r="B103" s="3">
        <v>45868</v>
      </c>
      <c r="C103" s="1" t="s">
        <v>224</v>
      </c>
      <c r="D103" s="1" t="s">
        <v>15</v>
      </c>
      <c r="E103" s="1" t="s">
        <v>57</v>
      </c>
      <c r="F103" s="1" t="s">
        <v>29</v>
      </c>
      <c r="G103" s="1" t="s">
        <v>49</v>
      </c>
      <c r="H103" s="1" t="s">
        <v>19</v>
      </c>
      <c r="I103" s="1">
        <v>1</v>
      </c>
      <c r="J103" s="4">
        <v>40861000</v>
      </c>
      <c r="K103" s="4">
        <v>36816000</v>
      </c>
      <c r="L103" s="4">
        <v>4045000</v>
      </c>
      <c r="M103" s="1" t="s">
        <v>20</v>
      </c>
    </row>
    <row r="104" spans="1:13">
      <c r="A104" s="1" t="s">
        <v>225</v>
      </c>
      <c r="B104" s="3">
        <v>45731</v>
      </c>
      <c r="C104" s="1" t="s">
        <v>87</v>
      </c>
      <c r="D104" s="1" t="s">
        <v>15</v>
      </c>
      <c r="E104" s="1" t="s">
        <v>54</v>
      </c>
      <c r="F104" s="1" t="s">
        <v>17</v>
      </c>
      <c r="G104" s="1" t="s">
        <v>24</v>
      </c>
      <c r="H104" s="1" t="s">
        <v>31</v>
      </c>
      <c r="I104" s="1">
        <v>1</v>
      </c>
      <c r="J104" s="4">
        <v>29261000</v>
      </c>
      <c r="K104" s="4">
        <v>24125000</v>
      </c>
      <c r="L104" s="4">
        <v>5136000</v>
      </c>
      <c r="M104" s="1" t="s">
        <v>20</v>
      </c>
    </row>
    <row r="105" spans="1:13">
      <c r="A105" s="1" t="s">
        <v>226</v>
      </c>
      <c r="B105" s="3">
        <v>45695</v>
      </c>
      <c r="C105" s="1" t="s">
        <v>227</v>
      </c>
      <c r="D105" s="1" t="s">
        <v>23</v>
      </c>
      <c r="E105" s="1" t="s">
        <v>44</v>
      </c>
      <c r="F105" s="1" t="s">
        <v>17</v>
      </c>
      <c r="G105" s="1" t="s">
        <v>41</v>
      </c>
      <c r="H105" s="1" t="s">
        <v>31</v>
      </c>
      <c r="I105" s="1">
        <v>1</v>
      </c>
      <c r="J105" s="4">
        <v>27111000</v>
      </c>
      <c r="K105" s="4">
        <v>21635000</v>
      </c>
      <c r="L105" s="4">
        <v>5476000</v>
      </c>
      <c r="M105" s="1" t="s">
        <v>20</v>
      </c>
    </row>
    <row r="106" spans="1:13">
      <c r="A106" s="1" t="s">
        <v>228</v>
      </c>
      <c r="B106" s="3">
        <v>45854</v>
      </c>
      <c r="C106" s="1" t="s">
        <v>229</v>
      </c>
      <c r="D106" s="1" t="s">
        <v>23</v>
      </c>
      <c r="E106" s="1" t="s">
        <v>64</v>
      </c>
      <c r="F106" s="1" t="s">
        <v>29</v>
      </c>
      <c r="G106" s="1" t="s">
        <v>49</v>
      </c>
      <c r="H106" s="1" t="s">
        <v>110</v>
      </c>
      <c r="I106" s="1">
        <v>1</v>
      </c>
      <c r="J106" s="4">
        <v>21707000</v>
      </c>
      <c r="K106" s="4">
        <v>17926000</v>
      </c>
      <c r="L106" s="4">
        <v>3781000</v>
      </c>
      <c r="M106" s="1" t="s">
        <v>20</v>
      </c>
    </row>
    <row r="107" spans="1:13">
      <c r="A107" s="1" t="s">
        <v>230</v>
      </c>
      <c r="B107" s="3">
        <v>45662</v>
      </c>
      <c r="C107" s="1" t="s">
        <v>231</v>
      </c>
      <c r="D107" s="1" t="s">
        <v>15</v>
      </c>
      <c r="E107" s="1" t="s">
        <v>57</v>
      </c>
      <c r="F107" s="1" t="s">
        <v>29</v>
      </c>
      <c r="G107" s="1" t="s">
        <v>41</v>
      </c>
      <c r="H107" s="1" t="s">
        <v>31</v>
      </c>
      <c r="I107" s="1">
        <v>1</v>
      </c>
      <c r="J107" s="4">
        <v>40694000</v>
      </c>
      <c r="K107" s="4">
        <v>35878000</v>
      </c>
      <c r="L107" s="4">
        <v>4816000</v>
      </c>
      <c r="M107" s="1" t="s">
        <v>20</v>
      </c>
    </row>
    <row r="108" spans="1:13">
      <c r="A108" s="1" t="s">
        <v>232</v>
      </c>
      <c r="B108" s="3">
        <v>45968</v>
      </c>
      <c r="C108" s="1" t="s">
        <v>233</v>
      </c>
      <c r="D108" s="1" t="s">
        <v>23</v>
      </c>
      <c r="E108" s="1" t="s">
        <v>40</v>
      </c>
      <c r="F108" s="1" t="s">
        <v>29</v>
      </c>
      <c r="G108" s="1" t="s">
        <v>30</v>
      </c>
      <c r="H108" s="1" t="s">
        <v>37</v>
      </c>
      <c r="I108" s="1">
        <v>1</v>
      </c>
      <c r="J108" s="4">
        <v>19140000</v>
      </c>
      <c r="K108" s="4">
        <v>20306000</v>
      </c>
      <c r="L108" s="4">
        <v>-1166000</v>
      </c>
      <c r="M108" s="1" t="s">
        <v>20</v>
      </c>
    </row>
    <row r="109" spans="1:13">
      <c r="A109" s="1" t="s">
        <v>234</v>
      </c>
      <c r="B109" s="3">
        <v>45707</v>
      </c>
      <c r="C109" s="1" t="s">
        <v>235</v>
      </c>
      <c r="D109" s="1" t="s">
        <v>15</v>
      </c>
      <c r="E109" s="1" t="s">
        <v>64</v>
      </c>
      <c r="F109" s="1" t="s">
        <v>29</v>
      </c>
      <c r="G109" s="1" t="s">
        <v>41</v>
      </c>
      <c r="H109" s="1" t="s">
        <v>110</v>
      </c>
      <c r="I109" s="1">
        <v>1</v>
      </c>
      <c r="J109" s="4">
        <v>21941000</v>
      </c>
      <c r="K109" s="4">
        <v>18446000</v>
      </c>
      <c r="L109" s="4">
        <v>3495000</v>
      </c>
      <c r="M109" s="1" t="s">
        <v>20</v>
      </c>
    </row>
    <row r="110" spans="1:13">
      <c r="A110" s="1" t="s">
        <v>236</v>
      </c>
      <c r="B110" s="3">
        <v>45870</v>
      </c>
      <c r="C110" s="1" t="s">
        <v>237</v>
      </c>
      <c r="D110" s="1" t="s">
        <v>23</v>
      </c>
      <c r="E110" s="1" t="s">
        <v>16</v>
      </c>
      <c r="F110" s="1" t="s">
        <v>17</v>
      </c>
      <c r="G110" s="1" t="s">
        <v>30</v>
      </c>
      <c r="H110" s="1" t="s">
        <v>110</v>
      </c>
      <c r="I110" s="1">
        <v>1</v>
      </c>
      <c r="J110" s="4">
        <v>19193000</v>
      </c>
      <c r="K110" s="4">
        <v>14545000</v>
      </c>
      <c r="L110" s="4">
        <v>4648000</v>
      </c>
      <c r="M110" s="1" t="s">
        <v>20</v>
      </c>
    </row>
    <row r="111" spans="1:13">
      <c r="A111" s="1" t="s">
        <v>238</v>
      </c>
      <c r="B111" s="3">
        <v>45904</v>
      </c>
      <c r="C111" s="1" t="s">
        <v>239</v>
      </c>
      <c r="D111" s="1" t="s">
        <v>23</v>
      </c>
      <c r="E111" s="1" t="s">
        <v>64</v>
      </c>
      <c r="F111" s="1" t="s">
        <v>29</v>
      </c>
      <c r="G111" s="1" t="s">
        <v>30</v>
      </c>
      <c r="H111" s="1" t="s">
        <v>37</v>
      </c>
      <c r="I111" s="1">
        <v>2</v>
      </c>
      <c r="J111" s="4">
        <v>45960000</v>
      </c>
      <c r="K111" s="4">
        <v>36484000</v>
      </c>
      <c r="L111" s="4">
        <v>9476000</v>
      </c>
      <c r="M111" s="1" t="s">
        <v>20</v>
      </c>
    </row>
    <row r="112" spans="1:13">
      <c r="A112" s="1" t="s">
        <v>240</v>
      </c>
      <c r="B112" s="3">
        <v>46003</v>
      </c>
      <c r="C112" s="1" t="s">
        <v>241</v>
      </c>
      <c r="D112" s="1" t="s">
        <v>15</v>
      </c>
      <c r="E112" s="1" t="s">
        <v>64</v>
      </c>
      <c r="F112" s="1" t="s">
        <v>29</v>
      </c>
      <c r="G112" s="1" t="s">
        <v>18</v>
      </c>
      <c r="H112" s="1" t="s">
        <v>25</v>
      </c>
      <c r="I112" s="1">
        <v>1</v>
      </c>
      <c r="J112" s="4">
        <v>21726000</v>
      </c>
      <c r="K112" s="4">
        <v>18832000</v>
      </c>
      <c r="L112" s="4">
        <v>2894000</v>
      </c>
      <c r="M112" s="1" t="s">
        <v>20</v>
      </c>
    </row>
    <row r="113" spans="1:13">
      <c r="A113" s="1" t="s">
        <v>242</v>
      </c>
      <c r="B113" s="3">
        <v>45846</v>
      </c>
      <c r="C113" s="1" t="s">
        <v>243</v>
      </c>
      <c r="D113" s="1" t="s">
        <v>15</v>
      </c>
      <c r="E113" s="1" t="s">
        <v>60</v>
      </c>
      <c r="F113" s="1" t="s">
        <v>61</v>
      </c>
      <c r="G113" s="1" t="s">
        <v>49</v>
      </c>
      <c r="H113" s="1" t="s">
        <v>34</v>
      </c>
      <c r="I113" s="1">
        <v>1</v>
      </c>
      <c r="J113" s="4">
        <v>63862000</v>
      </c>
      <c r="K113" s="4">
        <v>52723000</v>
      </c>
      <c r="L113" s="4">
        <v>11139000</v>
      </c>
      <c r="M113" s="1" t="s">
        <v>20</v>
      </c>
    </row>
    <row r="114" spans="1:13">
      <c r="A114" s="1" t="s">
        <v>244</v>
      </c>
      <c r="B114" s="3">
        <v>45975</v>
      </c>
      <c r="C114" s="1" t="s">
        <v>139</v>
      </c>
      <c r="D114" s="1" t="s">
        <v>23</v>
      </c>
      <c r="E114" s="1" t="s">
        <v>64</v>
      </c>
      <c r="F114" s="1" t="s">
        <v>29</v>
      </c>
      <c r="G114" s="1" t="s">
        <v>41</v>
      </c>
      <c r="H114" s="1" t="s">
        <v>37</v>
      </c>
      <c r="I114" s="1">
        <v>2</v>
      </c>
      <c r="J114" s="4">
        <v>34954000</v>
      </c>
      <c r="K114" s="4">
        <v>35001000</v>
      </c>
      <c r="L114" s="4">
        <v>-47000</v>
      </c>
      <c r="M114" s="1" t="s">
        <v>20</v>
      </c>
    </row>
    <row r="115" spans="1:13">
      <c r="A115" s="1" t="s">
        <v>245</v>
      </c>
      <c r="B115" s="3">
        <v>45867</v>
      </c>
      <c r="C115" s="1" t="s">
        <v>241</v>
      </c>
      <c r="D115" s="1" t="s">
        <v>23</v>
      </c>
      <c r="E115" s="1" t="s">
        <v>16</v>
      </c>
      <c r="F115" s="1" t="s">
        <v>17</v>
      </c>
      <c r="G115" s="1" t="s">
        <v>30</v>
      </c>
      <c r="H115" s="1" t="s">
        <v>25</v>
      </c>
      <c r="I115" s="1">
        <v>1</v>
      </c>
      <c r="J115" s="4">
        <v>19250000</v>
      </c>
      <c r="K115" s="4">
        <v>13943000</v>
      </c>
      <c r="L115" s="4">
        <v>5307000</v>
      </c>
      <c r="M115" s="1" t="s">
        <v>20</v>
      </c>
    </row>
    <row r="116" spans="1:13">
      <c r="A116" s="1" t="s">
        <v>246</v>
      </c>
      <c r="B116" s="3">
        <v>45890</v>
      </c>
      <c r="C116" s="1" t="s">
        <v>247</v>
      </c>
      <c r="D116" s="1" t="s">
        <v>15</v>
      </c>
      <c r="E116" s="1" t="s">
        <v>44</v>
      </c>
      <c r="F116" s="1" t="s">
        <v>17</v>
      </c>
      <c r="G116" s="1" t="s">
        <v>49</v>
      </c>
      <c r="H116" s="1" t="s">
        <v>37</v>
      </c>
      <c r="I116" s="1">
        <v>1</v>
      </c>
      <c r="J116" s="4">
        <v>26771000</v>
      </c>
      <c r="K116" s="4">
        <v>21990000</v>
      </c>
      <c r="L116" s="4">
        <v>4781000</v>
      </c>
      <c r="M116" s="1" t="s">
        <v>20</v>
      </c>
    </row>
    <row r="117" spans="1:13">
      <c r="A117" s="1" t="s">
        <v>248</v>
      </c>
      <c r="B117" s="3">
        <v>45708</v>
      </c>
      <c r="C117" s="1" t="s">
        <v>184</v>
      </c>
      <c r="D117" s="1" t="s">
        <v>15</v>
      </c>
      <c r="E117" s="1" t="s">
        <v>40</v>
      </c>
      <c r="F117" s="1" t="s">
        <v>29</v>
      </c>
      <c r="G117" s="1" t="s">
        <v>30</v>
      </c>
      <c r="H117" s="1" t="s">
        <v>110</v>
      </c>
      <c r="I117" s="1">
        <v>2</v>
      </c>
      <c r="J117" s="4">
        <v>46866000</v>
      </c>
      <c r="K117" s="4">
        <v>40354000</v>
      </c>
      <c r="L117" s="4">
        <v>6512000</v>
      </c>
      <c r="M117" s="1" t="s">
        <v>20</v>
      </c>
    </row>
    <row r="118" spans="1:13">
      <c r="A118" s="1" t="s">
        <v>249</v>
      </c>
      <c r="B118" s="3">
        <v>45708</v>
      </c>
      <c r="C118" s="1" t="s">
        <v>250</v>
      </c>
      <c r="D118" s="1" t="s">
        <v>23</v>
      </c>
      <c r="E118" s="1" t="s">
        <v>64</v>
      </c>
      <c r="F118" s="1" t="s">
        <v>29</v>
      </c>
      <c r="G118" s="1" t="s">
        <v>18</v>
      </c>
      <c r="H118" s="1" t="s">
        <v>25</v>
      </c>
      <c r="I118" s="1">
        <v>2</v>
      </c>
      <c r="J118" s="4">
        <v>45048000</v>
      </c>
      <c r="K118" s="4">
        <v>34992000</v>
      </c>
      <c r="L118" s="4">
        <v>10056000</v>
      </c>
      <c r="M118" s="1" t="s">
        <v>20</v>
      </c>
    </row>
    <row r="119" spans="1:13">
      <c r="A119" s="1" t="s">
        <v>251</v>
      </c>
      <c r="B119" s="3">
        <v>45704</v>
      </c>
      <c r="C119" s="1" t="s">
        <v>252</v>
      </c>
      <c r="D119" s="1" t="s">
        <v>15</v>
      </c>
      <c r="E119" s="1" t="s">
        <v>60</v>
      </c>
      <c r="F119" s="1" t="s">
        <v>61</v>
      </c>
      <c r="G119" s="1" t="s">
        <v>24</v>
      </c>
      <c r="H119" s="1" t="s">
        <v>31</v>
      </c>
      <c r="I119" s="1">
        <v>1</v>
      </c>
      <c r="J119" s="4">
        <v>57509000</v>
      </c>
      <c r="K119" s="4">
        <v>51948000</v>
      </c>
      <c r="L119" s="4">
        <v>5561000</v>
      </c>
      <c r="M119" s="1" t="s">
        <v>20</v>
      </c>
    </row>
    <row r="120" spans="1:13">
      <c r="A120" s="1" t="s">
        <v>253</v>
      </c>
      <c r="B120" s="3">
        <v>45693</v>
      </c>
      <c r="C120" s="1" t="s">
        <v>254</v>
      </c>
      <c r="D120" s="1" t="s">
        <v>15</v>
      </c>
      <c r="E120" s="1" t="s">
        <v>40</v>
      </c>
      <c r="F120" s="1" t="s">
        <v>29</v>
      </c>
      <c r="G120" s="1" t="s">
        <v>24</v>
      </c>
      <c r="H120" s="1" t="s">
        <v>34</v>
      </c>
      <c r="I120" s="1">
        <v>1</v>
      </c>
      <c r="J120" s="4">
        <v>25097000</v>
      </c>
      <c r="K120" s="4">
        <v>19271000</v>
      </c>
      <c r="L120" s="4">
        <v>5826000</v>
      </c>
      <c r="M120" s="1" t="s">
        <v>20</v>
      </c>
    </row>
    <row r="121" spans="1:13">
      <c r="A121" s="1" t="s">
        <v>255</v>
      </c>
      <c r="B121" s="3">
        <v>45799</v>
      </c>
      <c r="C121" s="1" t="s">
        <v>149</v>
      </c>
      <c r="D121" s="1" t="s">
        <v>23</v>
      </c>
      <c r="E121" s="1" t="s">
        <v>64</v>
      </c>
      <c r="F121" s="1" t="s">
        <v>29</v>
      </c>
      <c r="G121" s="1" t="s">
        <v>30</v>
      </c>
      <c r="H121" s="1" t="s">
        <v>34</v>
      </c>
      <c r="I121" s="1">
        <v>1</v>
      </c>
      <c r="J121" s="4">
        <v>21397000</v>
      </c>
      <c r="K121" s="4">
        <v>17704000</v>
      </c>
      <c r="L121" s="4">
        <v>3693000</v>
      </c>
      <c r="M121" s="1" t="s">
        <v>20</v>
      </c>
    </row>
    <row r="122" spans="1:13">
      <c r="A122" s="1" t="s">
        <v>256</v>
      </c>
      <c r="B122" s="3">
        <v>45841</v>
      </c>
      <c r="C122" s="1" t="s">
        <v>257</v>
      </c>
      <c r="D122" s="1" t="s">
        <v>23</v>
      </c>
      <c r="E122" s="1" t="s">
        <v>40</v>
      </c>
      <c r="F122" s="1" t="s">
        <v>29</v>
      </c>
      <c r="G122" s="1" t="s">
        <v>18</v>
      </c>
      <c r="H122" s="1" t="s">
        <v>37</v>
      </c>
      <c r="I122" s="1">
        <v>1</v>
      </c>
      <c r="J122" s="4">
        <v>23104000</v>
      </c>
      <c r="K122" s="4">
        <v>18914000</v>
      </c>
      <c r="L122" s="4">
        <v>4190000</v>
      </c>
      <c r="M122" s="1" t="s">
        <v>20</v>
      </c>
    </row>
    <row r="123" spans="1:13">
      <c r="A123" s="1" t="s">
        <v>258</v>
      </c>
      <c r="B123" s="3">
        <v>45690</v>
      </c>
      <c r="C123" s="1" t="s">
        <v>259</v>
      </c>
      <c r="D123" s="1" t="s">
        <v>15</v>
      </c>
      <c r="E123" s="1" t="s">
        <v>28</v>
      </c>
      <c r="F123" s="1" t="s">
        <v>29</v>
      </c>
      <c r="G123" s="1" t="s">
        <v>24</v>
      </c>
      <c r="H123" s="1" t="s">
        <v>110</v>
      </c>
      <c r="I123" s="1">
        <v>1</v>
      </c>
      <c r="J123" s="4">
        <v>49617000</v>
      </c>
      <c r="K123" s="4">
        <v>43517000</v>
      </c>
      <c r="L123" s="4">
        <v>6100000</v>
      </c>
      <c r="M123" s="1" t="s">
        <v>69</v>
      </c>
    </row>
    <row r="124" spans="1:13">
      <c r="A124" s="1" t="s">
        <v>260</v>
      </c>
      <c r="B124" s="3">
        <v>45892</v>
      </c>
      <c r="C124" s="1" t="s">
        <v>261</v>
      </c>
      <c r="D124" s="1" t="s">
        <v>23</v>
      </c>
      <c r="E124" s="1" t="s">
        <v>60</v>
      </c>
      <c r="F124" s="1" t="s">
        <v>61</v>
      </c>
      <c r="G124" s="1" t="s">
        <v>49</v>
      </c>
      <c r="H124" s="1" t="s">
        <v>34</v>
      </c>
      <c r="I124" s="1">
        <v>3</v>
      </c>
      <c r="J124" s="4">
        <v>192177000</v>
      </c>
      <c r="K124" s="4">
        <v>150383000</v>
      </c>
      <c r="L124" s="4">
        <v>41794000</v>
      </c>
      <c r="M124" s="1" t="s">
        <v>20</v>
      </c>
    </row>
    <row r="125" spans="1:13">
      <c r="A125" s="1" t="s">
        <v>262</v>
      </c>
      <c r="B125" s="3">
        <v>45699</v>
      </c>
      <c r="C125" s="1" t="s">
        <v>263</v>
      </c>
      <c r="D125" s="1" t="s">
        <v>23</v>
      </c>
      <c r="E125" s="1" t="s">
        <v>44</v>
      </c>
      <c r="F125" s="1" t="s">
        <v>17</v>
      </c>
      <c r="G125" s="1" t="s">
        <v>24</v>
      </c>
      <c r="H125" s="1" t="s">
        <v>19</v>
      </c>
      <c r="I125" s="1">
        <v>1</v>
      </c>
      <c r="J125" s="4">
        <v>27061000</v>
      </c>
      <c r="K125" s="4">
        <v>21986000</v>
      </c>
      <c r="L125" s="4">
        <v>5075000</v>
      </c>
      <c r="M125" s="1" t="s">
        <v>20</v>
      </c>
    </row>
    <row r="126" spans="1:13">
      <c r="A126" s="1" t="s">
        <v>264</v>
      </c>
      <c r="B126" s="3">
        <v>45808</v>
      </c>
      <c r="C126" s="1" t="s">
        <v>265</v>
      </c>
      <c r="D126" s="1" t="s">
        <v>15</v>
      </c>
      <c r="E126" s="1" t="s">
        <v>28</v>
      </c>
      <c r="F126" s="1" t="s">
        <v>29</v>
      </c>
      <c r="G126" s="1" t="s">
        <v>24</v>
      </c>
      <c r="H126" s="1" t="s">
        <v>37</v>
      </c>
      <c r="I126" s="1">
        <v>1</v>
      </c>
      <c r="J126" s="4">
        <v>53624000</v>
      </c>
      <c r="K126" s="4">
        <v>45035000</v>
      </c>
      <c r="L126" s="4">
        <v>8589000</v>
      </c>
      <c r="M126" s="1" t="s">
        <v>20</v>
      </c>
    </row>
    <row r="127" spans="1:13">
      <c r="A127" s="1" t="s">
        <v>266</v>
      </c>
      <c r="B127" s="3">
        <v>45768</v>
      </c>
      <c r="C127" s="1" t="s">
        <v>267</v>
      </c>
      <c r="D127" s="1" t="s">
        <v>15</v>
      </c>
      <c r="E127" s="1" t="s">
        <v>44</v>
      </c>
      <c r="F127" s="1" t="s">
        <v>17</v>
      </c>
      <c r="G127" s="1" t="s">
        <v>49</v>
      </c>
      <c r="H127" s="1" t="s">
        <v>110</v>
      </c>
      <c r="I127" s="1">
        <v>1</v>
      </c>
      <c r="J127" s="4">
        <v>27760000</v>
      </c>
      <c r="K127" s="4">
        <v>21579000</v>
      </c>
      <c r="L127" s="4">
        <v>6181000</v>
      </c>
      <c r="M127" s="1" t="s">
        <v>20</v>
      </c>
    </row>
    <row r="128" spans="1:13">
      <c r="A128" s="1" t="s">
        <v>268</v>
      </c>
      <c r="B128" s="3">
        <v>45998</v>
      </c>
      <c r="C128" s="1" t="s">
        <v>269</v>
      </c>
      <c r="D128" s="1" t="s">
        <v>15</v>
      </c>
      <c r="E128" s="1" t="s">
        <v>54</v>
      </c>
      <c r="F128" s="1" t="s">
        <v>17</v>
      </c>
      <c r="G128" s="1" t="s">
        <v>18</v>
      </c>
      <c r="H128" s="1" t="s">
        <v>37</v>
      </c>
      <c r="I128" s="1">
        <v>1</v>
      </c>
      <c r="J128" s="4">
        <v>28547000</v>
      </c>
      <c r="K128" s="4">
        <v>22252000</v>
      </c>
      <c r="L128" s="4">
        <v>6295000</v>
      </c>
      <c r="M128" s="1" t="s">
        <v>20</v>
      </c>
    </row>
    <row r="129" spans="1:13">
      <c r="A129" s="1" t="s">
        <v>270</v>
      </c>
      <c r="B129" s="3">
        <v>45848</v>
      </c>
      <c r="C129" s="1" t="s">
        <v>271</v>
      </c>
      <c r="D129" s="1" t="s">
        <v>15</v>
      </c>
      <c r="E129" s="1" t="s">
        <v>40</v>
      </c>
      <c r="F129" s="1" t="s">
        <v>29</v>
      </c>
      <c r="G129" s="1" t="s">
        <v>49</v>
      </c>
      <c r="H129" s="1" t="s">
        <v>37</v>
      </c>
      <c r="I129" s="1">
        <v>1</v>
      </c>
      <c r="J129" s="4">
        <v>24312000</v>
      </c>
      <c r="K129" s="4">
        <v>19463000</v>
      </c>
      <c r="L129" s="4">
        <v>4849000</v>
      </c>
      <c r="M129" s="1" t="s">
        <v>20</v>
      </c>
    </row>
    <row r="130" spans="1:13">
      <c r="A130" s="1" t="s">
        <v>272</v>
      </c>
      <c r="B130" s="3">
        <v>45684</v>
      </c>
      <c r="C130" s="1" t="s">
        <v>273</v>
      </c>
      <c r="D130" s="1" t="s">
        <v>15</v>
      </c>
      <c r="E130" s="1" t="s">
        <v>64</v>
      </c>
      <c r="F130" s="1" t="s">
        <v>29</v>
      </c>
      <c r="G130" s="1" t="s">
        <v>18</v>
      </c>
      <c r="H130" s="1" t="s">
        <v>110</v>
      </c>
      <c r="I130" s="1">
        <v>1</v>
      </c>
      <c r="J130" s="4">
        <v>22333000</v>
      </c>
      <c r="K130" s="4">
        <v>17774000</v>
      </c>
      <c r="L130" s="4">
        <v>4559000</v>
      </c>
      <c r="M130" s="1" t="s">
        <v>20</v>
      </c>
    </row>
    <row r="131" spans="1:13">
      <c r="A131" s="1" t="s">
        <v>274</v>
      </c>
      <c r="B131" s="3">
        <v>45942</v>
      </c>
      <c r="C131" s="1" t="s">
        <v>116</v>
      </c>
      <c r="D131" s="1" t="s">
        <v>15</v>
      </c>
      <c r="E131" s="1" t="s">
        <v>44</v>
      </c>
      <c r="F131" s="1" t="s">
        <v>17</v>
      </c>
      <c r="G131" s="1" t="s">
        <v>24</v>
      </c>
      <c r="H131" s="1" t="s">
        <v>19</v>
      </c>
      <c r="I131" s="1">
        <v>1</v>
      </c>
      <c r="J131" s="4">
        <v>27691000</v>
      </c>
      <c r="K131" s="4">
        <v>22552000</v>
      </c>
      <c r="L131" s="4">
        <v>5139000</v>
      </c>
      <c r="M131" s="1" t="s">
        <v>69</v>
      </c>
    </row>
    <row r="132" spans="1:13">
      <c r="A132" s="1" t="s">
        <v>275</v>
      </c>
      <c r="B132" s="3">
        <v>46003</v>
      </c>
      <c r="C132" s="1" t="s">
        <v>22</v>
      </c>
      <c r="D132" s="1" t="s">
        <v>23</v>
      </c>
      <c r="E132" s="1" t="s">
        <v>60</v>
      </c>
      <c r="F132" s="1" t="s">
        <v>61</v>
      </c>
      <c r="G132" s="1" t="s">
        <v>41</v>
      </c>
      <c r="H132" s="1" t="s">
        <v>110</v>
      </c>
      <c r="I132" s="1">
        <v>2</v>
      </c>
      <c r="J132" s="4">
        <v>127835000</v>
      </c>
      <c r="K132" s="4">
        <v>98651000</v>
      </c>
      <c r="L132" s="4">
        <v>29184000</v>
      </c>
      <c r="M132" s="1" t="s">
        <v>20</v>
      </c>
    </row>
    <row r="133" spans="1:13">
      <c r="A133" s="1" t="s">
        <v>276</v>
      </c>
      <c r="B133" s="3">
        <v>45837</v>
      </c>
      <c r="C133" s="1" t="s">
        <v>147</v>
      </c>
      <c r="D133" s="1" t="s">
        <v>15</v>
      </c>
      <c r="E133" s="1" t="s">
        <v>16</v>
      </c>
      <c r="F133" s="1" t="s">
        <v>17</v>
      </c>
      <c r="G133" s="1" t="s">
        <v>18</v>
      </c>
      <c r="H133" s="1" t="s">
        <v>37</v>
      </c>
      <c r="I133" s="1">
        <v>1</v>
      </c>
      <c r="J133" s="4">
        <v>12858000</v>
      </c>
      <c r="K133" s="4">
        <v>13981000</v>
      </c>
      <c r="L133" s="4">
        <v>-1123000</v>
      </c>
      <c r="M133" s="1" t="s">
        <v>20</v>
      </c>
    </row>
    <row r="134" spans="1:13">
      <c r="A134" s="1" t="s">
        <v>277</v>
      </c>
      <c r="B134" s="3">
        <v>45929</v>
      </c>
      <c r="C134" s="1" t="s">
        <v>278</v>
      </c>
      <c r="D134" s="1" t="s">
        <v>23</v>
      </c>
      <c r="E134" s="1" t="s">
        <v>54</v>
      </c>
      <c r="F134" s="1" t="s">
        <v>17</v>
      </c>
      <c r="G134" s="1" t="s">
        <v>24</v>
      </c>
      <c r="H134" s="1" t="s">
        <v>34</v>
      </c>
      <c r="I134" s="1">
        <v>1</v>
      </c>
      <c r="J134" s="4">
        <v>28161000</v>
      </c>
      <c r="K134" s="4">
        <v>23714000</v>
      </c>
      <c r="L134" s="4">
        <v>4447000</v>
      </c>
      <c r="M134" s="1" t="s">
        <v>20</v>
      </c>
    </row>
    <row r="135" spans="1:13">
      <c r="A135" s="1" t="s">
        <v>279</v>
      </c>
      <c r="B135" s="3">
        <v>45684</v>
      </c>
      <c r="C135" s="1" t="s">
        <v>280</v>
      </c>
      <c r="D135" s="1" t="s">
        <v>15</v>
      </c>
      <c r="E135" s="1" t="s">
        <v>16</v>
      </c>
      <c r="F135" s="1" t="s">
        <v>17</v>
      </c>
      <c r="G135" s="1" t="s">
        <v>49</v>
      </c>
      <c r="H135" s="1" t="s">
        <v>25</v>
      </c>
      <c r="I135" s="1">
        <v>1</v>
      </c>
      <c r="J135" s="4">
        <v>17111000</v>
      </c>
      <c r="K135" s="4">
        <v>14418000</v>
      </c>
      <c r="L135" s="4">
        <v>2693000</v>
      </c>
      <c r="M135" s="1" t="s">
        <v>20</v>
      </c>
    </row>
    <row r="136" spans="1:13">
      <c r="A136" s="1" t="s">
        <v>281</v>
      </c>
      <c r="B136" s="3">
        <v>45797</v>
      </c>
      <c r="C136" s="1" t="s">
        <v>257</v>
      </c>
      <c r="D136" s="1" t="s">
        <v>23</v>
      </c>
      <c r="E136" s="1" t="s">
        <v>54</v>
      </c>
      <c r="F136" s="1" t="s">
        <v>17</v>
      </c>
      <c r="G136" s="1" t="s">
        <v>41</v>
      </c>
      <c r="H136" s="1" t="s">
        <v>34</v>
      </c>
      <c r="I136" s="1">
        <v>1</v>
      </c>
      <c r="J136" s="4">
        <v>27201000</v>
      </c>
      <c r="K136" s="4">
        <v>23613000</v>
      </c>
      <c r="L136" s="4">
        <v>3588000</v>
      </c>
      <c r="M136" s="1" t="s">
        <v>20</v>
      </c>
    </row>
    <row r="137" spans="1:13">
      <c r="A137" s="1" t="s">
        <v>282</v>
      </c>
      <c r="B137" s="3">
        <v>45770</v>
      </c>
      <c r="C137" s="1" t="s">
        <v>156</v>
      </c>
      <c r="D137" s="1" t="s">
        <v>15</v>
      </c>
      <c r="E137" s="1" t="s">
        <v>44</v>
      </c>
      <c r="F137" s="1" t="s">
        <v>17</v>
      </c>
      <c r="G137" s="1" t="s">
        <v>41</v>
      </c>
      <c r="H137" s="1" t="s">
        <v>110</v>
      </c>
      <c r="I137" s="1">
        <v>1</v>
      </c>
      <c r="J137" s="4">
        <v>25948000</v>
      </c>
      <c r="K137" s="4">
        <v>21170000</v>
      </c>
      <c r="L137" s="4">
        <v>4778000</v>
      </c>
      <c r="M137" s="1" t="s">
        <v>20</v>
      </c>
    </row>
    <row r="138" spans="1:13">
      <c r="A138" s="1" t="s">
        <v>283</v>
      </c>
      <c r="B138" s="3">
        <v>45719</v>
      </c>
      <c r="C138" s="1" t="s">
        <v>39</v>
      </c>
      <c r="D138" s="1" t="s">
        <v>15</v>
      </c>
      <c r="E138" s="1" t="s">
        <v>16</v>
      </c>
      <c r="F138" s="1" t="s">
        <v>17</v>
      </c>
      <c r="G138" s="1" t="s">
        <v>41</v>
      </c>
      <c r="H138" s="1" t="s">
        <v>34</v>
      </c>
      <c r="I138" s="1">
        <v>1</v>
      </c>
      <c r="J138" s="4">
        <v>17810000</v>
      </c>
      <c r="K138" s="4">
        <v>14795000</v>
      </c>
      <c r="L138" s="4">
        <v>3015000</v>
      </c>
      <c r="M138" s="1" t="s">
        <v>20</v>
      </c>
    </row>
    <row r="139" spans="1:13">
      <c r="A139" s="1" t="s">
        <v>284</v>
      </c>
      <c r="B139" s="3">
        <v>45861</v>
      </c>
      <c r="C139" s="1" t="s">
        <v>77</v>
      </c>
      <c r="D139" s="1" t="s">
        <v>23</v>
      </c>
      <c r="E139" s="1" t="s">
        <v>64</v>
      </c>
      <c r="F139" s="1" t="s">
        <v>29</v>
      </c>
      <c r="G139" s="1" t="s">
        <v>49</v>
      </c>
      <c r="H139" s="1" t="s">
        <v>37</v>
      </c>
      <c r="I139" s="1">
        <v>1</v>
      </c>
      <c r="J139" s="4">
        <v>23315000</v>
      </c>
      <c r="K139" s="4">
        <v>18963000</v>
      </c>
      <c r="L139" s="4">
        <v>4352000</v>
      </c>
      <c r="M139" s="1" t="s">
        <v>20</v>
      </c>
    </row>
    <row r="140" spans="1:13">
      <c r="A140" s="1" t="s">
        <v>285</v>
      </c>
      <c r="B140" s="3">
        <v>45985</v>
      </c>
      <c r="C140" s="1" t="s">
        <v>237</v>
      </c>
      <c r="D140" s="1" t="s">
        <v>23</v>
      </c>
      <c r="E140" s="1" t="s">
        <v>44</v>
      </c>
      <c r="F140" s="1" t="s">
        <v>17</v>
      </c>
      <c r="G140" s="1" t="s">
        <v>41</v>
      </c>
      <c r="H140" s="1" t="s">
        <v>34</v>
      </c>
      <c r="I140" s="1">
        <v>1</v>
      </c>
      <c r="J140" s="4">
        <v>21344000</v>
      </c>
      <c r="K140" s="4">
        <v>22457000</v>
      </c>
      <c r="L140" s="4">
        <v>-1113000</v>
      </c>
      <c r="M140" s="1" t="s">
        <v>20</v>
      </c>
    </row>
    <row r="141" spans="1:13">
      <c r="A141" s="1" t="s">
        <v>286</v>
      </c>
      <c r="B141" s="3">
        <v>45881</v>
      </c>
      <c r="C141" s="1" t="s">
        <v>287</v>
      </c>
      <c r="D141" s="1" t="s">
        <v>23</v>
      </c>
      <c r="E141" s="1" t="s">
        <v>40</v>
      </c>
      <c r="F141" s="1" t="s">
        <v>29</v>
      </c>
      <c r="G141" s="1" t="s">
        <v>30</v>
      </c>
      <c r="H141" s="1" t="s">
        <v>110</v>
      </c>
      <c r="I141" s="1">
        <v>1</v>
      </c>
      <c r="J141" s="4">
        <v>24195000</v>
      </c>
      <c r="K141" s="4">
        <v>19594000</v>
      </c>
      <c r="L141" s="4">
        <v>4601000</v>
      </c>
      <c r="M141" s="1" t="s">
        <v>20</v>
      </c>
    </row>
    <row r="142" spans="1:13">
      <c r="A142" s="1" t="s">
        <v>288</v>
      </c>
      <c r="B142" s="3">
        <v>45744</v>
      </c>
      <c r="C142" s="1" t="s">
        <v>289</v>
      </c>
      <c r="D142" s="1" t="s">
        <v>15</v>
      </c>
      <c r="E142" s="1" t="s">
        <v>16</v>
      </c>
      <c r="F142" s="1" t="s">
        <v>17</v>
      </c>
      <c r="G142" s="1" t="s">
        <v>30</v>
      </c>
      <c r="H142" s="1" t="s">
        <v>31</v>
      </c>
      <c r="I142" s="1">
        <v>1</v>
      </c>
      <c r="J142" s="4">
        <v>17374000</v>
      </c>
      <c r="K142" s="4">
        <v>14901000</v>
      </c>
      <c r="L142" s="4">
        <v>2473000</v>
      </c>
      <c r="M142" s="1" t="s">
        <v>20</v>
      </c>
    </row>
    <row r="143" spans="1:13">
      <c r="A143" s="1" t="s">
        <v>290</v>
      </c>
      <c r="B143" s="3">
        <v>45710</v>
      </c>
      <c r="C143" s="1" t="s">
        <v>291</v>
      </c>
      <c r="D143" s="1" t="s">
        <v>23</v>
      </c>
      <c r="E143" s="1" t="s">
        <v>16</v>
      </c>
      <c r="F143" s="1" t="s">
        <v>17</v>
      </c>
      <c r="G143" s="1" t="s">
        <v>49</v>
      </c>
      <c r="H143" s="1" t="s">
        <v>25</v>
      </c>
      <c r="I143" s="1">
        <v>1</v>
      </c>
      <c r="J143" s="4">
        <v>18699000</v>
      </c>
      <c r="K143" s="4">
        <v>14725000</v>
      </c>
      <c r="L143" s="4">
        <v>3974000</v>
      </c>
      <c r="M143" s="1" t="s">
        <v>20</v>
      </c>
    </row>
    <row r="144" spans="1:13">
      <c r="A144" s="1" t="s">
        <v>292</v>
      </c>
      <c r="B144" s="3">
        <v>45946</v>
      </c>
      <c r="C144" s="1" t="s">
        <v>293</v>
      </c>
      <c r="D144" s="1" t="s">
        <v>23</v>
      </c>
      <c r="E144" s="1" t="s">
        <v>40</v>
      </c>
      <c r="F144" s="1" t="s">
        <v>29</v>
      </c>
      <c r="G144" s="1" t="s">
        <v>41</v>
      </c>
      <c r="H144" s="1" t="s">
        <v>31</v>
      </c>
      <c r="I144" s="1">
        <v>2</v>
      </c>
      <c r="J144" s="4">
        <v>48642000</v>
      </c>
      <c r="K144" s="4">
        <v>40136000</v>
      </c>
      <c r="L144" s="4">
        <v>8506000</v>
      </c>
      <c r="M144" s="1" t="s">
        <v>20</v>
      </c>
    </row>
    <row r="145" spans="1:13">
      <c r="A145" s="1" t="s">
        <v>294</v>
      </c>
      <c r="B145" s="3">
        <v>45883</v>
      </c>
      <c r="C145" s="1" t="s">
        <v>295</v>
      </c>
      <c r="D145" s="1" t="s">
        <v>23</v>
      </c>
      <c r="E145" s="1" t="s">
        <v>16</v>
      </c>
      <c r="F145" s="1" t="s">
        <v>17</v>
      </c>
      <c r="G145" s="1" t="s">
        <v>49</v>
      </c>
      <c r="H145" s="1" t="s">
        <v>25</v>
      </c>
      <c r="I145" s="1">
        <v>1</v>
      </c>
      <c r="J145" s="4">
        <v>17563000</v>
      </c>
      <c r="K145" s="4">
        <v>13856000</v>
      </c>
      <c r="L145" s="4">
        <v>3707000</v>
      </c>
      <c r="M145" s="1" t="s">
        <v>20</v>
      </c>
    </row>
    <row r="146" spans="1:13">
      <c r="A146" s="1" t="s">
        <v>296</v>
      </c>
      <c r="B146" s="3">
        <v>45677</v>
      </c>
      <c r="C146" s="1" t="s">
        <v>63</v>
      </c>
      <c r="D146" s="1" t="s">
        <v>15</v>
      </c>
      <c r="E146" s="1" t="s">
        <v>16</v>
      </c>
      <c r="F146" s="1" t="s">
        <v>17</v>
      </c>
      <c r="G146" s="1" t="s">
        <v>49</v>
      </c>
      <c r="H146" s="1" t="s">
        <v>25</v>
      </c>
      <c r="I146" s="1">
        <v>1</v>
      </c>
      <c r="J146" s="4">
        <v>18942000</v>
      </c>
      <c r="K146" s="4">
        <v>15015000</v>
      </c>
      <c r="L146" s="4">
        <v>3927000</v>
      </c>
      <c r="M146" s="1" t="s">
        <v>20</v>
      </c>
    </row>
    <row r="147" spans="1:13">
      <c r="A147" s="1" t="s">
        <v>297</v>
      </c>
      <c r="B147" s="3">
        <v>45955</v>
      </c>
      <c r="C147" s="1" t="s">
        <v>198</v>
      </c>
      <c r="D147" s="1" t="s">
        <v>15</v>
      </c>
      <c r="E147" s="1" t="s">
        <v>57</v>
      </c>
      <c r="F147" s="1" t="s">
        <v>29</v>
      </c>
      <c r="G147" s="1" t="s">
        <v>24</v>
      </c>
      <c r="H147" s="1" t="s">
        <v>25</v>
      </c>
      <c r="I147" s="1">
        <v>2</v>
      </c>
      <c r="J147" s="4">
        <v>85868000</v>
      </c>
      <c r="K147" s="4">
        <v>73200000</v>
      </c>
      <c r="L147" s="4">
        <v>12668000</v>
      </c>
      <c r="M147" s="1" t="s">
        <v>20</v>
      </c>
    </row>
    <row r="148" spans="1:13">
      <c r="A148" s="1" t="s">
        <v>298</v>
      </c>
      <c r="B148" s="3">
        <v>45914</v>
      </c>
      <c r="C148" s="1" t="s">
        <v>63</v>
      </c>
      <c r="D148" s="1" t="s">
        <v>23</v>
      </c>
      <c r="E148" s="1" t="s">
        <v>16</v>
      </c>
      <c r="F148" s="1" t="s">
        <v>17</v>
      </c>
      <c r="G148" s="1" t="s">
        <v>30</v>
      </c>
      <c r="H148" s="1" t="s">
        <v>34</v>
      </c>
      <c r="I148" s="1">
        <v>1</v>
      </c>
      <c r="J148" s="4">
        <v>19024000</v>
      </c>
      <c r="K148" s="4">
        <v>14273000</v>
      </c>
      <c r="L148" s="4">
        <v>4751000</v>
      </c>
      <c r="M148" s="1" t="s">
        <v>20</v>
      </c>
    </row>
    <row r="149" spans="1:13">
      <c r="A149" s="1" t="s">
        <v>299</v>
      </c>
      <c r="B149" s="3">
        <v>45784</v>
      </c>
      <c r="C149" s="1" t="s">
        <v>300</v>
      </c>
      <c r="D149" s="1" t="s">
        <v>15</v>
      </c>
      <c r="E149" s="1" t="s">
        <v>40</v>
      </c>
      <c r="F149" s="1" t="s">
        <v>29</v>
      </c>
      <c r="G149" s="1" t="s">
        <v>49</v>
      </c>
      <c r="H149" s="1" t="s">
        <v>110</v>
      </c>
      <c r="I149" s="1">
        <v>1</v>
      </c>
      <c r="J149" s="4">
        <v>24463000</v>
      </c>
      <c r="K149" s="4">
        <v>19531000</v>
      </c>
      <c r="L149" s="4">
        <v>4932000</v>
      </c>
      <c r="M149" s="1" t="s">
        <v>20</v>
      </c>
    </row>
    <row r="150" spans="1:13">
      <c r="A150" s="1" t="s">
        <v>301</v>
      </c>
      <c r="B150" s="3">
        <v>46005</v>
      </c>
      <c r="C150" s="1" t="s">
        <v>302</v>
      </c>
      <c r="D150" s="1" t="s">
        <v>15</v>
      </c>
      <c r="E150" s="1" t="s">
        <v>57</v>
      </c>
      <c r="F150" s="1" t="s">
        <v>29</v>
      </c>
      <c r="G150" s="1" t="s">
        <v>41</v>
      </c>
      <c r="H150" s="1" t="s">
        <v>37</v>
      </c>
      <c r="I150" s="1">
        <v>1</v>
      </c>
      <c r="J150" s="4">
        <v>40788000</v>
      </c>
      <c r="K150" s="4">
        <v>34060000</v>
      </c>
      <c r="L150" s="4">
        <v>6728000</v>
      </c>
      <c r="M150" s="1" t="s">
        <v>20</v>
      </c>
    </row>
    <row r="151" spans="1:13">
      <c r="A151" s="1" t="s">
        <v>303</v>
      </c>
      <c r="B151" s="3">
        <v>45994</v>
      </c>
      <c r="C151" s="1" t="s">
        <v>295</v>
      </c>
      <c r="D151" s="1" t="s">
        <v>23</v>
      </c>
      <c r="E151" s="1" t="s">
        <v>64</v>
      </c>
      <c r="F151" s="1" t="s">
        <v>29</v>
      </c>
      <c r="G151" s="1" t="s">
        <v>49</v>
      </c>
      <c r="H151" s="1" t="s">
        <v>31</v>
      </c>
      <c r="I151" s="1">
        <v>1</v>
      </c>
      <c r="J151" s="4">
        <v>20913000</v>
      </c>
      <c r="K151" s="4">
        <v>18599000</v>
      </c>
      <c r="L151" s="4">
        <v>2314000</v>
      </c>
      <c r="M151" s="1" t="s">
        <v>20</v>
      </c>
    </row>
    <row r="152" spans="1:13">
      <c r="A152" s="1" t="s">
        <v>304</v>
      </c>
      <c r="B152" s="3">
        <v>45962</v>
      </c>
      <c r="C152" s="1" t="s">
        <v>22</v>
      </c>
      <c r="D152" s="1" t="s">
        <v>23</v>
      </c>
      <c r="E152" s="1" t="s">
        <v>40</v>
      </c>
      <c r="F152" s="1" t="s">
        <v>29</v>
      </c>
      <c r="G152" s="1" t="s">
        <v>24</v>
      </c>
      <c r="H152" s="1" t="s">
        <v>34</v>
      </c>
      <c r="I152" s="1">
        <v>1</v>
      </c>
      <c r="J152" s="4">
        <v>20146000</v>
      </c>
      <c r="K152" s="4">
        <v>19460000</v>
      </c>
      <c r="L152" s="4">
        <v>686000</v>
      </c>
      <c r="M152" s="1" t="s">
        <v>20</v>
      </c>
    </row>
    <row r="153" spans="1:13">
      <c r="A153" s="1" t="s">
        <v>305</v>
      </c>
      <c r="B153" s="3">
        <v>45988</v>
      </c>
      <c r="C153" s="1" t="s">
        <v>265</v>
      </c>
      <c r="D153" s="1" t="s">
        <v>23</v>
      </c>
      <c r="E153" s="1" t="s">
        <v>60</v>
      </c>
      <c r="F153" s="1" t="s">
        <v>61</v>
      </c>
      <c r="G153" s="1" t="s">
        <v>49</v>
      </c>
      <c r="H153" s="1" t="s">
        <v>31</v>
      </c>
      <c r="I153" s="1">
        <v>1</v>
      </c>
      <c r="J153" s="4">
        <v>49027000</v>
      </c>
      <c r="K153" s="4">
        <v>52778000</v>
      </c>
      <c r="L153" s="4">
        <v>-3751000</v>
      </c>
      <c r="M153" s="1" t="s">
        <v>20</v>
      </c>
    </row>
    <row r="154" spans="1:13">
      <c r="A154" s="1" t="s">
        <v>306</v>
      </c>
      <c r="B154" s="3">
        <v>45773</v>
      </c>
      <c r="C154" s="1" t="s">
        <v>123</v>
      </c>
      <c r="D154" s="1" t="s">
        <v>23</v>
      </c>
      <c r="E154" s="1" t="s">
        <v>64</v>
      </c>
      <c r="F154" s="1" t="s">
        <v>29</v>
      </c>
      <c r="G154" s="1" t="s">
        <v>24</v>
      </c>
      <c r="H154" s="1" t="s">
        <v>34</v>
      </c>
      <c r="I154" s="1">
        <v>1</v>
      </c>
      <c r="J154" s="4">
        <v>22934000</v>
      </c>
      <c r="K154" s="4">
        <v>18314000</v>
      </c>
      <c r="L154" s="4">
        <v>4620000</v>
      </c>
      <c r="M154" s="1" t="s">
        <v>20</v>
      </c>
    </row>
    <row r="155" spans="1:13">
      <c r="A155" s="1" t="s">
        <v>307</v>
      </c>
      <c r="B155" s="3">
        <v>45996</v>
      </c>
      <c r="C155" s="1" t="s">
        <v>291</v>
      </c>
      <c r="D155" s="1" t="s">
        <v>15</v>
      </c>
      <c r="E155" s="1" t="s">
        <v>44</v>
      </c>
      <c r="F155" s="1" t="s">
        <v>17</v>
      </c>
      <c r="G155" s="1" t="s">
        <v>24</v>
      </c>
      <c r="H155" s="1" t="s">
        <v>31</v>
      </c>
      <c r="I155" s="1">
        <v>1</v>
      </c>
      <c r="J155" s="4">
        <v>26208000</v>
      </c>
      <c r="K155" s="4">
        <v>21064000</v>
      </c>
      <c r="L155" s="4">
        <v>5144000</v>
      </c>
      <c r="M155" s="1" t="s">
        <v>20</v>
      </c>
    </row>
    <row r="156" spans="1:13">
      <c r="A156" s="1" t="s">
        <v>308</v>
      </c>
      <c r="B156" s="3">
        <v>45882</v>
      </c>
      <c r="C156" s="1" t="s">
        <v>309</v>
      </c>
      <c r="D156" s="1" t="s">
        <v>23</v>
      </c>
      <c r="E156" s="1" t="s">
        <v>16</v>
      </c>
      <c r="F156" s="1" t="s">
        <v>17</v>
      </c>
      <c r="G156" s="1" t="s">
        <v>49</v>
      </c>
      <c r="H156" s="1" t="s">
        <v>31</v>
      </c>
      <c r="I156" s="1">
        <v>1</v>
      </c>
      <c r="J156" s="4">
        <v>19189000</v>
      </c>
      <c r="K156" s="4">
        <v>14660000</v>
      </c>
      <c r="L156" s="4">
        <v>4529000</v>
      </c>
      <c r="M156" s="1" t="s">
        <v>20</v>
      </c>
    </row>
    <row r="157" spans="1:13">
      <c r="A157" s="1" t="s">
        <v>310</v>
      </c>
      <c r="B157" s="3">
        <v>45931</v>
      </c>
      <c r="C157" s="1" t="s">
        <v>77</v>
      </c>
      <c r="D157" s="1" t="s">
        <v>15</v>
      </c>
      <c r="E157" s="1" t="s">
        <v>54</v>
      </c>
      <c r="F157" s="1" t="s">
        <v>17</v>
      </c>
      <c r="G157" s="1" t="s">
        <v>49</v>
      </c>
      <c r="H157" s="1" t="s">
        <v>25</v>
      </c>
      <c r="I157" s="1">
        <v>1</v>
      </c>
      <c r="J157" s="4">
        <v>30139000</v>
      </c>
      <c r="K157" s="4">
        <v>22490000</v>
      </c>
      <c r="L157" s="4">
        <v>7649000</v>
      </c>
      <c r="M157" s="1" t="s">
        <v>20</v>
      </c>
    </row>
    <row r="158" spans="1:13">
      <c r="A158" s="1" t="s">
        <v>311</v>
      </c>
      <c r="B158" s="3">
        <v>45802</v>
      </c>
      <c r="C158" s="1" t="s">
        <v>312</v>
      </c>
      <c r="D158" s="1" t="s">
        <v>23</v>
      </c>
      <c r="E158" s="1" t="s">
        <v>40</v>
      </c>
      <c r="F158" s="1" t="s">
        <v>29</v>
      </c>
      <c r="G158" s="1" t="s">
        <v>41</v>
      </c>
      <c r="H158" s="1" t="s">
        <v>34</v>
      </c>
      <c r="I158" s="1">
        <v>1</v>
      </c>
      <c r="J158" s="4">
        <v>23066000</v>
      </c>
      <c r="K158" s="4">
        <v>19205000</v>
      </c>
      <c r="L158" s="4">
        <v>3861000</v>
      </c>
      <c r="M158" s="1" t="s">
        <v>20</v>
      </c>
    </row>
    <row r="159" spans="1:13">
      <c r="A159" s="1" t="s">
        <v>313</v>
      </c>
      <c r="B159" s="3">
        <v>45986</v>
      </c>
      <c r="C159" s="1" t="s">
        <v>68</v>
      </c>
      <c r="D159" s="1" t="s">
        <v>23</v>
      </c>
      <c r="E159" s="1" t="s">
        <v>28</v>
      </c>
      <c r="F159" s="1" t="s">
        <v>29</v>
      </c>
      <c r="G159" s="1" t="s">
        <v>30</v>
      </c>
      <c r="H159" s="1" t="s">
        <v>110</v>
      </c>
      <c r="I159" s="1">
        <v>2</v>
      </c>
      <c r="J159" s="4">
        <v>88050000</v>
      </c>
      <c r="K159" s="4">
        <v>87138000</v>
      </c>
      <c r="L159" s="4">
        <v>912000</v>
      </c>
      <c r="M159" s="1" t="s">
        <v>20</v>
      </c>
    </row>
    <row r="160" spans="1:13">
      <c r="A160" s="1" t="s">
        <v>314</v>
      </c>
      <c r="B160" s="3">
        <v>45888</v>
      </c>
      <c r="C160" s="1" t="s">
        <v>315</v>
      </c>
      <c r="D160" s="1" t="s">
        <v>23</v>
      </c>
      <c r="E160" s="1" t="s">
        <v>64</v>
      </c>
      <c r="F160" s="1" t="s">
        <v>29</v>
      </c>
      <c r="G160" s="1" t="s">
        <v>18</v>
      </c>
      <c r="H160" s="1" t="s">
        <v>25</v>
      </c>
      <c r="I160" s="1">
        <v>1</v>
      </c>
      <c r="J160" s="4">
        <v>23387000</v>
      </c>
      <c r="K160" s="4">
        <v>17791000</v>
      </c>
      <c r="L160" s="4">
        <v>5596000</v>
      </c>
      <c r="M160" s="1" t="s">
        <v>20</v>
      </c>
    </row>
    <row r="161" spans="1:13">
      <c r="A161" s="1" t="s">
        <v>316</v>
      </c>
      <c r="B161" s="3">
        <v>45685</v>
      </c>
      <c r="C161" s="1" t="s">
        <v>97</v>
      </c>
      <c r="D161" s="1" t="s">
        <v>23</v>
      </c>
      <c r="E161" s="1" t="s">
        <v>44</v>
      </c>
      <c r="F161" s="1" t="s">
        <v>17</v>
      </c>
      <c r="G161" s="1" t="s">
        <v>41</v>
      </c>
      <c r="H161" s="1" t="s">
        <v>31</v>
      </c>
      <c r="I161" s="1">
        <v>1</v>
      </c>
      <c r="J161" s="4">
        <v>25191000</v>
      </c>
      <c r="K161" s="4">
        <v>21199000</v>
      </c>
      <c r="L161" s="4">
        <v>3992000</v>
      </c>
      <c r="M161" s="1" t="s">
        <v>20</v>
      </c>
    </row>
    <row r="162" spans="1:13">
      <c r="A162" s="1" t="s">
        <v>317</v>
      </c>
      <c r="B162" s="3">
        <v>45728</v>
      </c>
      <c r="C162" s="1" t="s">
        <v>318</v>
      </c>
      <c r="D162" s="1" t="s">
        <v>15</v>
      </c>
      <c r="E162" s="1" t="s">
        <v>16</v>
      </c>
      <c r="F162" s="1" t="s">
        <v>17</v>
      </c>
      <c r="G162" s="1" t="s">
        <v>18</v>
      </c>
      <c r="H162" s="1" t="s">
        <v>34</v>
      </c>
      <c r="I162" s="1">
        <v>1</v>
      </c>
      <c r="J162" s="4">
        <v>18865000</v>
      </c>
      <c r="K162" s="4">
        <v>14875000</v>
      </c>
      <c r="L162" s="4">
        <v>3990000</v>
      </c>
      <c r="M162" s="1" t="s">
        <v>20</v>
      </c>
    </row>
    <row r="163" spans="1:13">
      <c r="A163" s="1" t="s">
        <v>319</v>
      </c>
      <c r="B163" s="3">
        <v>45667</v>
      </c>
      <c r="C163" s="1" t="s">
        <v>87</v>
      </c>
      <c r="D163" s="1" t="s">
        <v>15</v>
      </c>
      <c r="E163" s="1" t="s">
        <v>54</v>
      </c>
      <c r="F163" s="1" t="s">
        <v>17</v>
      </c>
      <c r="G163" s="1" t="s">
        <v>30</v>
      </c>
      <c r="H163" s="1" t="s">
        <v>110</v>
      </c>
      <c r="I163" s="1">
        <v>1</v>
      </c>
      <c r="J163" s="4">
        <v>29484000</v>
      </c>
      <c r="K163" s="4">
        <v>23264000</v>
      </c>
      <c r="L163" s="4">
        <v>6220000</v>
      </c>
      <c r="M163" s="1" t="s">
        <v>20</v>
      </c>
    </row>
    <row r="164" spans="1:13">
      <c r="A164" s="1" t="s">
        <v>320</v>
      </c>
      <c r="B164" s="3">
        <v>45720</v>
      </c>
      <c r="C164" s="1" t="s">
        <v>321</v>
      </c>
      <c r="D164" s="1" t="s">
        <v>23</v>
      </c>
      <c r="E164" s="1" t="s">
        <v>16</v>
      </c>
      <c r="F164" s="1" t="s">
        <v>17</v>
      </c>
      <c r="G164" s="1" t="s">
        <v>24</v>
      </c>
      <c r="H164" s="1" t="s">
        <v>34</v>
      </c>
      <c r="I164" s="1">
        <v>1</v>
      </c>
      <c r="J164" s="4">
        <v>17990000</v>
      </c>
      <c r="K164" s="4">
        <v>13936000</v>
      </c>
      <c r="L164" s="4">
        <v>4054000</v>
      </c>
      <c r="M164" s="1" t="s">
        <v>20</v>
      </c>
    </row>
    <row r="165" spans="1:13">
      <c r="A165" s="1" t="s">
        <v>322</v>
      </c>
      <c r="B165" s="3">
        <v>45981</v>
      </c>
      <c r="C165" s="1" t="s">
        <v>323</v>
      </c>
      <c r="D165" s="1" t="s">
        <v>23</v>
      </c>
      <c r="E165" s="1" t="s">
        <v>28</v>
      </c>
      <c r="F165" s="1" t="s">
        <v>29</v>
      </c>
      <c r="G165" s="1" t="s">
        <v>30</v>
      </c>
      <c r="H165" s="1" t="s">
        <v>37</v>
      </c>
      <c r="I165" s="1">
        <v>1</v>
      </c>
      <c r="J165" s="4">
        <v>42461000</v>
      </c>
      <c r="K165" s="4">
        <v>43999000</v>
      </c>
      <c r="L165" s="4">
        <v>-1538000</v>
      </c>
      <c r="M165" s="1" t="s">
        <v>20</v>
      </c>
    </row>
    <row r="166" spans="1:13">
      <c r="A166" s="1" t="s">
        <v>324</v>
      </c>
      <c r="B166" s="3">
        <v>46000</v>
      </c>
      <c r="C166" s="1" t="s">
        <v>325</v>
      </c>
      <c r="D166" s="1" t="s">
        <v>15</v>
      </c>
      <c r="E166" s="1" t="s">
        <v>16</v>
      </c>
      <c r="F166" s="1" t="s">
        <v>17</v>
      </c>
      <c r="G166" s="1" t="s">
        <v>18</v>
      </c>
      <c r="H166" s="1" t="s">
        <v>25</v>
      </c>
      <c r="I166" s="1">
        <v>1</v>
      </c>
      <c r="J166" s="4">
        <v>18151000</v>
      </c>
      <c r="K166" s="4">
        <v>14511000</v>
      </c>
      <c r="L166" s="4">
        <v>3640000</v>
      </c>
      <c r="M166" s="1" t="s">
        <v>69</v>
      </c>
    </row>
    <row r="167" spans="1:13">
      <c r="A167" s="1" t="s">
        <v>326</v>
      </c>
      <c r="B167" s="3">
        <v>45898</v>
      </c>
      <c r="C167" s="1" t="s">
        <v>224</v>
      </c>
      <c r="D167" s="1" t="s">
        <v>23</v>
      </c>
      <c r="E167" s="1" t="s">
        <v>16</v>
      </c>
      <c r="F167" s="1" t="s">
        <v>17</v>
      </c>
      <c r="G167" s="1" t="s">
        <v>18</v>
      </c>
      <c r="H167" s="1" t="s">
        <v>19</v>
      </c>
      <c r="I167" s="1">
        <v>1</v>
      </c>
      <c r="J167" s="4">
        <v>18669000</v>
      </c>
      <c r="K167" s="4">
        <v>14293000</v>
      </c>
      <c r="L167" s="4">
        <v>4376000</v>
      </c>
      <c r="M167" s="1" t="s">
        <v>20</v>
      </c>
    </row>
    <row r="168" spans="1:13">
      <c r="A168" s="1" t="s">
        <v>327</v>
      </c>
      <c r="B168" s="3">
        <v>45828</v>
      </c>
      <c r="C168" s="1" t="s">
        <v>328</v>
      </c>
      <c r="D168" s="1" t="s">
        <v>23</v>
      </c>
      <c r="E168" s="1" t="s">
        <v>16</v>
      </c>
      <c r="F168" s="1" t="s">
        <v>17</v>
      </c>
      <c r="G168" s="1" t="s">
        <v>49</v>
      </c>
      <c r="H168" s="1" t="s">
        <v>37</v>
      </c>
      <c r="I168" s="1">
        <v>1</v>
      </c>
      <c r="J168" s="4">
        <v>13265000</v>
      </c>
      <c r="K168" s="4">
        <v>14979000</v>
      </c>
      <c r="L168" s="4">
        <v>-1714000</v>
      </c>
      <c r="M168" s="1" t="s">
        <v>20</v>
      </c>
    </row>
    <row r="169" spans="1:13">
      <c r="A169" s="1" t="s">
        <v>329</v>
      </c>
      <c r="B169" s="3">
        <v>45751</v>
      </c>
      <c r="C169" s="1" t="s">
        <v>330</v>
      </c>
      <c r="D169" s="1" t="s">
        <v>23</v>
      </c>
      <c r="E169" s="1" t="s">
        <v>40</v>
      </c>
      <c r="F169" s="1" t="s">
        <v>29</v>
      </c>
      <c r="G169" s="1" t="s">
        <v>18</v>
      </c>
      <c r="H169" s="1" t="s">
        <v>110</v>
      </c>
      <c r="I169" s="1">
        <v>1</v>
      </c>
      <c r="J169" s="4">
        <v>23988000</v>
      </c>
      <c r="K169" s="4">
        <v>19391000</v>
      </c>
      <c r="L169" s="4">
        <v>4597000</v>
      </c>
      <c r="M169" s="1" t="s">
        <v>20</v>
      </c>
    </row>
    <row r="170" spans="1:13">
      <c r="A170" s="1" t="s">
        <v>331</v>
      </c>
      <c r="B170" s="3">
        <v>45816</v>
      </c>
      <c r="C170" s="1" t="s">
        <v>332</v>
      </c>
      <c r="D170" s="1" t="s">
        <v>15</v>
      </c>
      <c r="E170" s="1" t="s">
        <v>28</v>
      </c>
      <c r="F170" s="1" t="s">
        <v>29</v>
      </c>
      <c r="G170" s="1" t="s">
        <v>18</v>
      </c>
      <c r="H170" s="1" t="s">
        <v>37</v>
      </c>
      <c r="I170" s="1">
        <v>1</v>
      </c>
      <c r="J170" s="4">
        <v>36427000</v>
      </c>
      <c r="K170" s="4">
        <v>44602000</v>
      </c>
      <c r="L170" s="4">
        <v>-8175000</v>
      </c>
      <c r="M170" s="1" t="s">
        <v>20</v>
      </c>
    </row>
    <row r="171" spans="1:13">
      <c r="A171" s="1" t="s">
        <v>333</v>
      </c>
      <c r="B171" s="3">
        <v>45827</v>
      </c>
      <c r="C171" s="1" t="s">
        <v>287</v>
      </c>
      <c r="D171" s="1" t="s">
        <v>15</v>
      </c>
      <c r="E171" s="1" t="s">
        <v>54</v>
      </c>
      <c r="F171" s="1" t="s">
        <v>17</v>
      </c>
      <c r="G171" s="1" t="s">
        <v>30</v>
      </c>
      <c r="H171" s="1" t="s">
        <v>25</v>
      </c>
      <c r="I171" s="1">
        <v>1</v>
      </c>
      <c r="J171" s="4">
        <v>20356000</v>
      </c>
      <c r="K171" s="4">
        <v>23060000</v>
      </c>
      <c r="L171" s="4">
        <v>-2704000</v>
      </c>
      <c r="M171" s="1" t="s">
        <v>69</v>
      </c>
    </row>
    <row r="172" spans="1:13">
      <c r="A172" s="1" t="s">
        <v>334</v>
      </c>
      <c r="B172" s="3">
        <v>46012</v>
      </c>
      <c r="C172" s="1" t="s">
        <v>335</v>
      </c>
      <c r="D172" s="1" t="s">
        <v>15</v>
      </c>
      <c r="E172" s="1" t="s">
        <v>28</v>
      </c>
      <c r="F172" s="1" t="s">
        <v>29</v>
      </c>
      <c r="G172" s="1" t="s">
        <v>30</v>
      </c>
      <c r="H172" s="1" t="s">
        <v>19</v>
      </c>
      <c r="I172" s="1">
        <v>1</v>
      </c>
      <c r="J172" s="4">
        <v>54296000</v>
      </c>
      <c r="K172" s="4">
        <v>44488000</v>
      </c>
      <c r="L172" s="4">
        <v>9808000</v>
      </c>
      <c r="M172" s="1" t="s">
        <v>20</v>
      </c>
    </row>
    <row r="173" spans="1:13">
      <c r="A173" s="1" t="s">
        <v>336</v>
      </c>
      <c r="B173" s="3">
        <v>45808</v>
      </c>
      <c r="C173" s="1" t="s">
        <v>107</v>
      </c>
      <c r="D173" s="1" t="s">
        <v>23</v>
      </c>
      <c r="E173" s="1" t="s">
        <v>44</v>
      </c>
      <c r="F173" s="1" t="s">
        <v>17</v>
      </c>
      <c r="G173" s="1" t="s">
        <v>49</v>
      </c>
      <c r="H173" s="1" t="s">
        <v>110</v>
      </c>
      <c r="I173" s="1">
        <v>1</v>
      </c>
      <c r="J173" s="4">
        <v>25966000</v>
      </c>
      <c r="K173" s="4">
        <v>22024000</v>
      </c>
      <c r="L173" s="4">
        <v>3942000</v>
      </c>
      <c r="M173" s="1" t="s">
        <v>20</v>
      </c>
    </row>
    <row r="174" spans="1:13">
      <c r="A174" s="1" t="s">
        <v>337</v>
      </c>
      <c r="B174" s="3">
        <v>45886</v>
      </c>
      <c r="C174" s="1" t="s">
        <v>338</v>
      </c>
      <c r="D174" s="1" t="s">
        <v>15</v>
      </c>
      <c r="E174" s="1" t="s">
        <v>16</v>
      </c>
      <c r="F174" s="1" t="s">
        <v>17</v>
      </c>
      <c r="G174" s="1" t="s">
        <v>18</v>
      </c>
      <c r="H174" s="1" t="s">
        <v>34</v>
      </c>
      <c r="I174" s="1">
        <v>1</v>
      </c>
      <c r="J174" s="4">
        <v>19256000</v>
      </c>
      <c r="K174" s="4">
        <v>14173000</v>
      </c>
      <c r="L174" s="4">
        <v>5083000</v>
      </c>
      <c r="M174" s="1" t="s">
        <v>69</v>
      </c>
    </row>
    <row r="175" spans="1:13">
      <c r="A175" s="1" t="s">
        <v>339</v>
      </c>
      <c r="B175" s="3">
        <v>46001</v>
      </c>
      <c r="C175" s="1" t="s">
        <v>280</v>
      </c>
      <c r="D175" s="1" t="s">
        <v>23</v>
      </c>
      <c r="E175" s="1" t="s">
        <v>60</v>
      </c>
      <c r="F175" s="1" t="s">
        <v>61</v>
      </c>
      <c r="G175" s="1" t="s">
        <v>49</v>
      </c>
      <c r="H175" s="1" t="s">
        <v>34</v>
      </c>
      <c r="I175" s="1">
        <v>1</v>
      </c>
      <c r="J175" s="4">
        <v>62728000</v>
      </c>
      <c r="K175" s="4">
        <v>52787000</v>
      </c>
      <c r="L175" s="4">
        <v>9941000</v>
      </c>
      <c r="M175" s="1" t="s">
        <v>20</v>
      </c>
    </row>
    <row r="176" spans="1:13">
      <c r="A176" s="1" t="s">
        <v>340</v>
      </c>
      <c r="B176" s="3">
        <v>45722</v>
      </c>
      <c r="C176" s="1" t="s">
        <v>127</v>
      </c>
      <c r="D176" s="1" t="s">
        <v>15</v>
      </c>
      <c r="E176" s="1" t="s">
        <v>16</v>
      </c>
      <c r="F176" s="1" t="s">
        <v>17</v>
      </c>
      <c r="G176" s="1" t="s">
        <v>49</v>
      </c>
      <c r="H176" s="1" t="s">
        <v>110</v>
      </c>
      <c r="I176" s="1">
        <v>1</v>
      </c>
      <c r="J176" s="4">
        <v>17816000</v>
      </c>
      <c r="K176" s="4">
        <v>14598000</v>
      </c>
      <c r="L176" s="4">
        <v>3218000</v>
      </c>
      <c r="M176" s="1" t="s">
        <v>20</v>
      </c>
    </row>
    <row r="177" spans="1:13">
      <c r="A177" s="1" t="s">
        <v>341</v>
      </c>
      <c r="B177" s="3">
        <v>45848</v>
      </c>
      <c r="C177" s="1" t="s">
        <v>289</v>
      </c>
      <c r="D177" s="1" t="s">
        <v>23</v>
      </c>
      <c r="E177" s="1" t="s">
        <v>44</v>
      </c>
      <c r="F177" s="1" t="s">
        <v>17</v>
      </c>
      <c r="G177" s="1" t="s">
        <v>18</v>
      </c>
      <c r="H177" s="1" t="s">
        <v>34</v>
      </c>
      <c r="I177" s="1">
        <v>1</v>
      </c>
      <c r="J177" s="4">
        <v>26174000</v>
      </c>
      <c r="K177" s="4">
        <v>21395000</v>
      </c>
      <c r="L177" s="4">
        <v>4779000</v>
      </c>
      <c r="M177" s="1" t="s">
        <v>20</v>
      </c>
    </row>
    <row r="178" spans="1:13">
      <c r="A178" s="1" t="s">
        <v>342</v>
      </c>
      <c r="B178" s="3">
        <v>45753</v>
      </c>
      <c r="C178" s="1" t="s">
        <v>343</v>
      </c>
      <c r="D178" s="1" t="s">
        <v>23</v>
      </c>
      <c r="E178" s="1" t="s">
        <v>28</v>
      </c>
      <c r="F178" s="1" t="s">
        <v>29</v>
      </c>
      <c r="G178" s="1" t="s">
        <v>41</v>
      </c>
      <c r="H178" s="1" t="s">
        <v>37</v>
      </c>
      <c r="I178" s="1">
        <v>1</v>
      </c>
      <c r="J178" s="4">
        <v>50650000</v>
      </c>
      <c r="K178" s="4">
        <v>42457000</v>
      </c>
      <c r="L178" s="4">
        <v>8193000</v>
      </c>
      <c r="M178" s="1" t="s">
        <v>20</v>
      </c>
    </row>
    <row r="179" spans="1:13">
      <c r="A179" s="1" t="s">
        <v>344</v>
      </c>
      <c r="B179" s="3">
        <v>45909</v>
      </c>
      <c r="C179" s="1" t="s">
        <v>345</v>
      </c>
      <c r="D179" s="1" t="s">
        <v>23</v>
      </c>
      <c r="E179" s="1" t="s">
        <v>54</v>
      </c>
      <c r="F179" s="1" t="s">
        <v>17</v>
      </c>
      <c r="G179" s="1" t="s">
        <v>41</v>
      </c>
      <c r="H179" s="1" t="s">
        <v>37</v>
      </c>
      <c r="I179" s="1">
        <v>1</v>
      </c>
      <c r="J179" s="4">
        <v>27430000</v>
      </c>
      <c r="K179" s="4">
        <v>23695000</v>
      </c>
      <c r="L179" s="4">
        <v>3735000</v>
      </c>
      <c r="M179" s="1" t="s">
        <v>69</v>
      </c>
    </row>
    <row r="180" spans="1:13">
      <c r="A180" s="1" t="s">
        <v>346</v>
      </c>
      <c r="B180" s="3">
        <v>45835</v>
      </c>
      <c r="C180" s="1" t="s">
        <v>22</v>
      </c>
      <c r="D180" s="1" t="s">
        <v>23</v>
      </c>
      <c r="E180" s="1" t="s">
        <v>40</v>
      </c>
      <c r="F180" s="1" t="s">
        <v>29</v>
      </c>
      <c r="G180" s="1" t="s">
        <v>30</v>
      </c>
      <c r="H180" s="1" t="s">
        <v>110</v>
      </c>
      <c r="I180" s="1">
        <v>1</v>
      </c>
      <c r="J180" s="4">
        <v>16917000</v>
      </c>
      <c r="K180" s="4">
        <v>19122000</v>
      </c>
      <c r="L180" s="4">
        <v>-2205000</v>
      </c>
      <c r="M180" s="1" t="s">
        <v>20</v>
      </c>
    </row>
    <row r="181" spans="1:13">
      <c r="A181" s="1" t="s">
        <v>347</v>
      </c>
      <c r="B181" s="3">
        <v>45918</v>
      </c>
      <c r="C181" s="1" t="s">
        <v>77</v>
      </c>
      <c r="D181" s="1" t="s">
        <v>15</v>
      </c>
      <c r="E181" s="1" t="s">
        <v>54</v>
      </c>
      <c r="F181" s="1" t="s">
        <v>17</v>
      </c>
      <c r="G181" s="1" t="s">
        <v>41</v>
      </c>
      <c r="H181" s="1" t="s">
        <v>25</v>
      </c>
      <c r="I181" s="1">
        <v>1</v>
      </c>
      <c r="J181" s="4">
        <v>27667000</v>
      </c>
      <c r="K181" s="4">
        <v>23186000</v>
      </c>
      <c r="L181" s="4">
        <v>4481000</v>
      </c>
      <c r="M181" s="1" t="s">
        <v>20</v>
      </c>
    </row>
    <row r="182" spans="1:13">
      <c r="A182" s="1" t="s">
        <v>348</v>
      </c>
      <c r="B182" s="3">
        <v>45940</v>
      </c>
      <c r="C182" s="1" t="s">
        <v>349</v>
      </c>
      <c r="D182" s="1" t="s">
        <v>15</v>
      </c>
      <c r="E182" s="1" t="s">
        <v>16</v>
      </c>
      <c r="F182" s="1" t="s">
        <v>17</v>
      </c>
      <c r="G182" s="1" t="s">
        <v>49</v>
      </c>
      <c r="H182" s="1" t="s">
        <v>19</v>
      </c>
      <c r="I182" s="1">
        <v>1</v>
      </c>
      <c r="J182" s="4">
        <v>17852000</v>
      </c>
      <c r="K182" s="4">
        <v>14815000</v>
      </c>
      <c r="L182" s="4">
        <v>3037000</v>
      </c>
      <c r="M182" s="1" t="s">
        <v>20</v>
      </c>
    </row>
    <row r="183" spans="1:13">
      <c r="A183" s="1" t="s">
        <v>350</v>
      </c>
      <c r="B183" s="3">
        <v>45695</v>
      </c>
      <c r="C183" s="1" t="s">
        <v>237</v>
      </c>
      <c r="D183" s="1" t="s">
        <v>23</v>
      </c>
      <c r="E183" s="1" t="s">
        <v>16</v>
      </c>
      <c r="F183" s="1" t="s">
        <v>17</v>
      </c>
      <c r="G183" s="1" t="s">
        <v>24</v>
      </c>
      <c r="H183" s="1" t="s">
        <v>37</v>
      </c>
      <c r="I183" s="1">
        <v>1</v>
      </c>
      <c r="J183" s="4">
        <v>18010000</v>
      </c>
      <c r="K183" s="4">
        <v>14525000</v>
      </c>
      <c r="L183" s="4">
        <v>3485000</v>
      </c>
      <c r="M183" s="1" t="s">
        <v>20</v>
      </c>
    </row>
    <row r="184" spans="1:13">
      <c r="A184" s="1" t="s">
        <v>351</v>
      </c>
      <c r="B184" s="3">
        <v>45958</v>
      </c>
      <c r="C184" s="1" t="s">
        <v>352</v>
      </c>
      <c r="D184" s="1" t="s">
        <v>15</v>
      </c>
      <c r="E184" s="1" t="s">
        <v>16</v>
      </c>
      <c r="F184" s="1" t="s">
        <v>17</v>
      </c>
      <c r="G184" s="1" t="s">
        <v>41</v>
      </c>
      <c r="H184" s="1" t="s">
        <v>31</v>
      </c>
      <c r="I184" s="1">
        <v>1</v>
      </c>
      <c r="J184" s="4">
        <v>19051000</v>
      </c>
      <c r="K184" s="4">
        <v>13855000</v>
      </c>
      <c r="L184" s="4">
        <v>5196000</v>
      </c>
      <c r="M184" s="1" t="s">
        <v>20</v>
      </c>
    </row>
    <row r="185" spans="1:13">
      <c r="A185" s="1" t="s">
        <v>353</v>
      </c>
      <c r="B185" s="3">
        <v>45740</v>
      </c>
      <c r="C185" s="1" t="s">
        <v>354</v>
      </c>
      <c r="D185" s="1" t="s">
        <v>15</v>
      </c>
      <c r="E185" s="1" t="s">
        <v>44</v>
      </c>
      <c r="F185" s="1" t="s">
        <v>17</v>
      </c>
      <c r="G185" s="1" t="s">
        <v>30</v>
      </c>
      <c r="H185" s="1" t="s">
        <v>37</v>
      </c>
      <c r="I185" s="1">
        <v>1</v>
      </c>
      <c r="J185" s="4">
        <v>28151000</v>
      </c>
      <c r="K185" s="4">
        <v>22661000</v>
      </c>
      <c r="L185" s="4">
        <v>5490000</v>
      </c>
      <c r="M185" s="1" t="s">
        <v>20</v>
      </c>
    </row>
    <row r="186" spans="1:13">
      <c r="A186" s="1" t="s">
        <v>355</v>
      </c>
      <c r="B186" s="3">
        <v>45940</v>
      </c>
      <c r="C186" s="1" t="s">
        <v>356</v>
      </c>
      <c r="D186" s="1" t="s">
        <v>15</v>
      </c>
      <c r="E186" s="1" t="s">
        <v>54</v>
      </c>
      <c r="F186" s="1" t="s">
        <v>17</v>
      </c>
      <c r="G186" s="1" t="s">
        <v>30</v>
      </c>
      <c r="H186" s="1" t="s">
        <v>31</v>
      </c>
      <c r="I186" s="1">
        <v>1</v>
      </c>
      <c r="J186" s="4">
        <v>27136000</v>
      </c>
      <c r="K186" s="4">
        <v>23527000</v>
      </c>
      <c r="L186" s="4">
        <v>3609000</v>
      </c>
      <c r="M186" s="1" t="s">
        <v>20</v>
      </c>
    </row>
    <row r="187" spans="1:13">
      <c r="A187" s="1" t="s">
        <v>357</v>
      </c>
      <c r="B187" s="3">
        <v>45995</v>
      </c>
      <c r="C187" s="1" t="s">
        <v>358</v>
      </c>
      <c r="D187" s="1" t="s">
        <v>15</v>
      </c>
      <c r="E187" s="1" t="s">
        <v>57</v>
      </c>
      <c r="F187" s="1" t="s">
        <v>29</v>
      </c>
      <c r="G187" s="1" t="s">
        <v>18</v>
      </c>
      <c r="H187" s="1" t="s">
        <v>37</v>
      </c>
      <c r="I187" s="1">
        <v>1</v>
      </c>
      <c r="J187" s="4">
        <v>45585000</v>
      </c>
      <c r="K187" s="4">
        <v>33871000</v>
      </c>
      <c r="L187" s="4">
        <v>11714000</v>
      </c>
      <c r="M187" s="1" t="s">
        <v>20</v>
      </c>
    </row>
    <row r="188" spans="1:13">
      <c r="A188" s="1" t="s">
        <v>359</v>
      </c>
      <c r="B188" s="3">
        <v>45953</v>
      </c>
      <c r="C188" s="1" t="s">
        <v>14</v>
      </c>
      <c r="D188" s="1" t="s">
        <v>23</v>
      </c>
      <c r="E188" s="1" t="s">
        <v>54</v>
      </c>
      <c r="F188" s="1" t="s">
        <v>17</v>
      </c>
      <c r="G188" s="1" t="s">
        <v>41</v>
      </c>
      <c r="H188" s="1" t="s">
        <v>37</v>
      </c>
      <c r="I188" s="1">
        <v>1</v>
      </c>
      <c r="J188" s="4">
        <v>29080000</v>
      </c>
      <c r="K188" s="4">
        <v>22110000</v>
      </c>
      <c r="L188" s="4">
        <v>6970000</v>
      </c>
      <c r="M188" s="1" t="s">
        <v>20</v>
      </c>
    </row>
    <row r="189" spans="1:13">
      <c r="A189" s="1" t="s">
        <v>360</v>
      </c>
      <c r="B189" s="3">
        <v>45812</v>
      </c>
      <c r="C189" s="1" t="s">
        <v>99</v>
      </c>
      <c r="D189" s="1" t="s">
        <v>15</v>
      </c>
      <c r="E189" s="1" t="s">
        <v>28</v>
      </c>
      <c r="F189" s="1" t="s">
        <v>29</v>
      </c>
      <c r="G189" s="1" t="s">
        <v>49</v>
      </c>
      <c r="H189" s="1" t="s">
        <v>25</v>
      </c>
      <c r="I189" s="1">
        <v>1</v>
      </c>
      <c r="J189" s="4">
        <v>36641000</v>
      </c>
      <c r="K189" s="4">
        <v>41642000</v>
      </c>
      <c r="L189" s="4">
        <v>-5001000</v>
      </c>
      <c r="M189" s="1" t="s">
        <v>20</v>
      </c>
    </row>
    <row r="190" spans="1:13">
      <c r="A190" s="1" t="s">
        <v>361</v>
      </c>
      <c r="B190" s="3">
        <v>45895</v>
      </c>
      <c r="C190" s="1" t="s">
        <v>362</v>
      </c>
      <c r="D190" s="1" t="s">
        <v>23</v>
      </c>
      <c r="E190" s="1" t="s">
        <v>54</v>
      </c>
      <c r="F190" s="1" t="s">
        <v>17</v>
      </c>
      <c r="G190" s="1" t="s">
        <v>49</v>
      </c>
      <c r="H190" s="1" t="s">
        <v>31</v>
      </c>
      <c r="I190" s="1">
        <v>1</v>
      </c>
      <c r="J190" s="4">
        <v>29452000</v>
      </c>
      <c r="K190" s="4">
        <v>23743000</v>
      </c>
      <c r="L190" s="4">
        <v>5709000</v>
      </c>
      <c r="M190" s="1" t="s">
        <v>20</v>
      </c>
    </row>
    <row r="191" spans="1:13">
      <c r="A191" s="1" t="s">
        <v>363</v>
      </c>
      <c r="B191" s="3">
        <v>45847</v>
      </c>
      <c r="C191" s="1" t="s">
        <v>364</v>
      </c>
      <c r="D191" s="1" t="s">
        <v>23</v>
      </c>
      <c r="E191" s="1" t="s">
        <v>28</v>
      </c>
      <c r="F191" s="1" t="s">
        <v>29</v>
      </c>
      <c r="G191" s="1" t="s">
        <v>41</v>
      </c>
      <c r="H191" s="1" t="s">
        <v>25</v>
      </c>
      <c r="I191" s="1">
        <v>1</v>
      </c>
      <c r="J191" s="4">
        <v>49708000</v>
      </c>
      <c r="K191" s="4">
        <v>43281000</v>
      </c>
      <c r="L191" s="4">
        <v>6427000</v>
      </c>
      <c r="M191" s="1" t="s">
        <v>20</v>
      </c>
    </row>
    <row r="192" spans="1:13">
      <c r="A192" s="1" t="s">
        <v>365</v>
      </c>
      <c r="B192" s="3">
        <v>45973</v>
      </c>
      <c r="C192" s="1" t="s">
        <v>81</v>
      </c>
      <c r="D192" s="1" t="s">
        <v>15</v>
      </c>
      <c r="E192" s="1" t="s">
        <v>44</v>
      </c>
      <c r="F192" s="1" t="s">
        <v>17</v>
      </c>
      <c r="G192" s="1" t="s">
        <v>30</v>
      </c>
      <c r="H192" s="1" t="s">
        <v>25</v>
      </c>
      <c r="I192" s="1">
        <v>2</v>
      </c>
      <c r="J192" s="4">
        <v>45448000</v>
      </c>
      <c r="K192" s="4">
        <v>45491000</v>
      </c>
      <c r="L192" s="4">
        <v>-43000</v>
      </c>
      <c r="M192" s="1" t="s">
        <v>20</v>
      </c>
    </row>
    <row r="193" spans="1:13">
      <c r="A193" s="1" t="s">
        <v>366</v>
      </c>
      <c r="B193" s="3">
        <v>45921</v>
      </c>
      <c r="C193" s="1" t="s">
        <v>224</v>
      </c>
      <c r="D193" s="1" t="s">
        <v>15</v>
      </c>
      <c r="E193" s="1" t="s">
        <v>28</v>
      </c>
      <c r="F193" s="1" t="s">
        <v>29</v>
      </c>
      <c r="G193" s="1" t="s">
        <v>30</v>
      </c>
      <c r="H193" s="1" t="s">
        <v>19</v>
      </c>
      <c r="I193" s="1">
        <v>1</v>
      </c>
      <c r="J193" s="4">
        <v>49489000</v>
      </c>
      <c r="K193" s="4">
        <v>43036000</v>
      </c>
      <c r="L193" s="4">
        <v>6453000</v>
      </c>
      <c r="M193" s="1" t="s">
        <v>20</v>
      </c>
    </row>
    <row r="194" spans="1:13">
      <c r="A194" s="1" t="s">
        <v>367</v>
      </c>
      <c r="B194" s="3">
        <v>45838</v>
      </c>
      <c r="C194" s="1" t="s">
        <v>368</v>
      </c>
      <c r="D194" s="1" t="s">
        <v>23</v>
      </c>
      <c r="E194" s="1" t="s">
        <v>16</v>
      </c>
      <c r="F194" s="1" t="s">
        <v>17</v>
      </c>
      <c r="G194" s="1" t="s">
        <v>18</v>
      </c>
      <c r="H194" s="1" t="s">
        <v>25</v>
      </c>
      <c r="I194" s="1">
        <v>1</v>
      </c>
      <c r="J194" s="4">
        <v>13602000</v>
      </c>
      <c r="K194" s="4">
        <v>14750000</v>
      </c>
      <c r="L194" s="4">
        <v>-1148000</v>
      </c>
      <c r="M194" s="1" t="s">
        <v>20</v>
      </c>
    </row>
    <row r="195" spans="1:13">
      <c r="A195" s="1" t="s">
        <v>369</v>
      </c>
      <c r="B195" s="3">
        <v>45726</v>
      </c>
      <c r="C195" s="1" t="s">
        <v>134</v>
      </c>
      <c r="D195" s="1" t="s">
        <v>15</v>
      </c>
      <c r="E195" s="1" t="s">
        <v>64</v>
      </c>
      <c r="F195" s="1" t="s">
        <v>29</v>
      </c>
      <c r="G195" s="1" t="s">
        <v>41</v>
      </c>
      <c r="H195" s="1" t="s">
        <v>19</v>
      </c>
      <c r="I195" s="1">
        <v>1</v>
      </c>
      <c r="J195" s="4">
        <v>21727000</v>
      </c>
      <c r="K195" s="4">
        <v>18118000</v>
      </c>
      <c r="L195" s="4">
        <v>3609000</v>
      </c>
      <c r="M195" s="1" t="s">
        <v>20</v>
      </c>
    </row>
    <row r="196" spans="1:13">
      <c r="A196" s="1" t="s">
        <v>370</v>
      </c>
      <c r="B196" s="3">
        <v>45805</v>
      </c>
      <c r="C196" s="1" t="s">
        <v>73</v>
      </c>
      <c r="D196" s="1" t="s">
        <v>23</v>
      </c>
      <c r="E196" s="1" t="s">
        <v>16</v>
      </c>
      <c r="F196" s="1" t="s">
        <v>17</v>
      </c>
      <c r="G196" s="1" t="s">
        <v>30</v>
      </c>
      <c r="H196" s="1" t="s">
        <v>34</v>
      </c>
      <c r="I196" s="1">
        <v>1</v>
      </c>
      <c r="J196" s="4">
        <v>17575000</v>
      </c>
      <c r="K196" s="4">
        <v>15209000</v>
      </c>
      <c r="L196" s="4">
        <v>2366000</v>
      </c>
      <c r="M196" s="1" t="s">
        <v>20</v>
      </c>
    </row>
    <row r="197" spans="1:13">
      <c r="A197" s="1" t="s">
        <v>371</v>
      </c>
      <c r="B197" s="3">
        <v>45859</v>
      </c>
      <c r="C197" s="1" t="s">
        <v>372</v>
      </c>
      <c r="D197" s="1" t="s">
        <v>15</v>
      </c>
      <c r="E197" s="1" t="s">
        <v>44</v>
      </c>
      <c r="F197" s="1" t="s">
        <v>17</v>
      </c>
      <c r="G197" s="1" t="s">
        <v>24</v>
      </c>
      <c r="H197" s="1" t="s">
        <v>34</v>
      </c>
      <c r="I197" s="1">
        <v>1</v>
      </c>
      <c r="J197" s="4">
        <v>26170000</v>
      </c>
      <c r="K197" s="4">
        <v>21025000</v>
      </c>
      <c r="L197" s="4">
        <v>5145000</v>
      </c>
      <c r="M197" s="1" t="s">
        <v>20</v>
      </c>
    </row>
    <row r="198" spans="1:13">
      <c r="A198" s="1" t="s">
        <v>373</v>
      </c>
      <c r="B198" s="3">
        <v>45681</v>
      </c>
      <c r="C198" s="1" t="s">
        <v>143</v>
      </c>
      <c r="D198" s="1" t="s">
        <v>15</v>
      </c>
      <c r="E198" s="1" t="s">
        <v>16</v>
      </c>
      <c r="F198" s="1" t="s">
        <v>17</v>
      </c>
      <c r="G198" s="1" t="s">
        <v>41</v>
      </c>
      <c r="H198" s="1" t="s">
        <v>19</v>
      </c>
      <c r="I198" s="1">
        <v>1</v>
      </c>
      <c r="J198" s="4">
        <v>18135000</v>
      </c>
      <c r="K198" s="4">
        <v>13991000</v>
      </c>
      <c r="L198" s="4">
        <v>4144000</v>
      </c>
      <c r="M198" s="1" t="s">
        <v>20</v>
      </c>
    </row>
    <row r="199" spans="1:13">
      <c r="A199" s="1" t="s">
        <v>374</v>
      </c>
      <c r="B199" s="3">
        <v>45821</v>
      </c>
      <c r="C199" s="1" t="s">
        <v>43</v>
      </c>
      <c r="D199" s="1" t="s">
        <v>15</v>
      </c>
      <c r="E199" s="1" t="s">
        <v>16</v>
      </c>
      <c r="F199" s="1" t="s">
        <v>17</v>
      </c>
      <c r="G199" s="1" t="s">
        <v>49</v>
      </c>
      <c r="H199" s="1" t="s">
        <v>37</v>
      </c>
      <c r="I199" s="1">
        <v>1</v>
      </c>
      <c r="J199" s="4">
        <v>12687000</v>
      </c>
      <c r="K199" s="4">
        <v>14263000</v>
      </c>
      <c r="L199" s="4">
        <v>-1576000</v>
      </c>
      <c r="M199" s="1" t="s">
        <v>20</v>
      </c>
    </row>
    <row r="200" spans="1:13">
      <c r="A200" s="1" t="s">
        <v>375</v>
      </c>
      <c r="B200" s="3">
        <v>45946</v>
      </c>
      <c r="C200" s="1" t="s">
        <v>109</v>
      </c>
      <c r="D200" s="1" t="s">
        <v>15</v>
      </c>
      <c r="E200" s="1" t="s">
        <v>54</v>
      </c>
      <c r="F200" s="1" t="s">
        <v>17</v>
      </c>
      <c r="G200" s="1" t="s">
        <v>18</v>
      </c>
      <c r="H200" s="1" t="s">
        <v>19</v>
      </c>
      <c r="I200" s="1">
        <v>1</v>
      </c>
      <c r="J200" s="4">
        <v>29286000</v>
      </c>
      <c r="K200" s="4">
        <v>24313000</v>
      </c>
      <c r="L200" s="4">
        <v>4973000</v>
      </c>
      <c r="M200" s="1" t="s">
        <v>20</v>
      </c>
    </row>
    <row r="201" spans="1:13">
      <c r="A201" s="1" t="s">
        <v>376</v>
      </c>
      <c r="B201" s="3">
        <v>45900</v>
      </c>
      <c r="C201" s="1" t="s">
        <v>181</v>
      </c>
      <c r="D201" s="1" t="s">
        <v>15</v>
      </c>
      <c r="E201" s="1" t="s">
        <v>54</v>
      </c>
      <c r="F201" s="1" t="s">
        <v>17</v>
      </c>
      <c r="G201" s="1" t="s">
        <v>30</v>
      </c>
      <c r="H201" s="1" t="s">
        <v>19</v>
      </c>
      <c r="I201" s="1">
        <v>3</v>
      </c>
      <c r="J201" s="4">
        <v>86800000</v>
      </c>
      <c r="K201" s="4">
        <v>67704000</v>
      </c>
      <c r="L201" s="4">
        <v>19096000</v>
      </c>
      <c r="M201" s="1" t="s">
        <v>20</v>
      </c>
    </row>
    <row r="202" spans="1:13">
      <c r="A202" s="1" t="s">
        <v>377</v>
      </c>
      <c r="B202" s="3">
        <v>45980</v>
      </c>
      <c r="C202" s="1" t="s">
        <v>22</v>
      </c>
      <c r="D202" s="1" t="s">
        <v>15</v>
      </c>
      <c r="E202" s="1" t="s">
        <v>40</v>
      </c>
      <c r="F202" s="1" t="s">
        <v>29</v>
      </c>
      <c r="G202" s="1" t="s">
        <v>18</v>
      </c>
      <c r="H202" s="1" t="s">
        <v>31</v>
      </c>
      <c r="I202" s="1">
        <v>1</v>
      </c>
      <c r="J202" s="4">
        <v>20601000</v>
      </c>
      <c r="K202" s="4">
        <v>19290000</v>
      </c>
      <c r="L202" s="4">
        <v>1311000</v>
      </c>
      <c r="M202" s="1" t="s">
        <v>20</v>
      </c>
    </row>
    <row r="203" spans="1:13">
      <c r="A203" s="1" t="s">
        <v>378</v>
      </c>
      <c r="B203" s="3">
        <v>45667</v>
      </c>
      <c r="C203" s="1" t="s">
        <v>153</v>
      </c>
      <c r="D203" s="1" t="s">
        <v>23</v>
      </c>
      <c r="E203" s="1" t="s">
        <v>44</v>
      </c>
      <c r="F203" s="1" t="s">
        <v>17</v>
      </c>
      <c r="G203" s="1" t="s">
        <v>18</v>
      </c>
      <c r="H203" s="1" t="s">
        <v>37</v>
      </c>
      <c r="I203" s="1">
        <v>1</v>
      </c>
      <c r="J203" s="4">
        <v>25612000</v>
      </c>
      <c r="K203" s="4">
        <v>21804000</v>
      </c>
      <c r="L203" s="4">
        <v>3808000</v>
      </c>
      <c r="M203" s="1" t="s">
        <v>20</v>
      </c>
    </row>
    <row r="204" spans="1:13">
      <c r="A204" s="1" t="s">
        <v>379</v>
      </c>
      <c r="B204" s="3">
        <v>45728</v>
      </c>
      <c r="C204" s="1" t="s">
        <v>33</v>
      </c>
      <c r="D204" s="1" t="s">
        <v>15</v>
      </c>
      <c r="E204" s="1" t="s">
        <v>28</v>
      </c>
      <c r="F204" s="1" t="s">
        <v>29</v>
      </c>
      <c r="G204" s="1" t="s">
        <v>24</v>
      </c>
      <c r="H204" s="1" t="s">
        <v>110</v>
      </c>
      <c r="I204" s="1">
        <v>3</v>
      </c>
      <c r="J204" s="4">
        <v>156341000</v>
      </c>
      <c r="K204" s="4">
        <v>128893000</v>
      </c>
      <c r="L204" s="4">
        <v>27448000</v>
      </c>
      <c r="M204" s="1" t="s">
        <v>69</v>
      </c>
    </row>
    <row r="205" spans="1:13">
      <c r="A205" s="1" t="s">
        <v>380</v>
      </c>
      <c r="B205" s="3">
        <v>45937</v>
      </c>
      <c r="C205" s="1" t="s">
        <v>134</v>
      </c>
      <c r="D205" s="1" t="s">
        <v>15</v>
      </c>
      <c r="E205" s="1" t="s">
        <v>44</v>
      </c>
      <c r="F205" s="1" t="s">
        <v>17</v>
      </c>
      <c r="G205" s="1" t="s">
        <v>30</v>
      </c>
      <c r="H205" s="1" t="s">
        <v>110</v>
      </c>
      <c r="I205" s="1">
        <v>1</v>
      </c>
      <c r="J205" s="4">
        <v>27126000</v>
      </c>
      <c r="K205" s="4">
        <v>22221000</v>
      </c>
      <c r="L205" s="4">
        <v>4905000</v>
      </c>
      <c r="M205" s="1" t="s">
        <v>20</v>
      </c>
    </row>
    <row r="206" spans="1:13">
      <c r="A206" s="1" t="s">
        <v>381</v>
      </c>
      <c r="B206" s="3">
        <v>45943</v>
      </c>
      <c r="C206" s="1" t="s">
        <v>66</v>
      </c>
      <c r="D206" s="1" t="s">
        <v>15</v>
      </c>
      <c r="E206" s="1" t="s">
        <v>54</v>
      </c>
      <c r="F206" s="1" t="s">
        <v>17</v>
      </c>
      <c r="G206" s="1" t="s">
        <v>41</v>
      </c>
      <c r="H206" s="1" t="s">
        <v>25</v>
      </c>
      <c r="I206" s="1">
        <v>3</v>
      </c>
      <c r="J206" s="4">
        <v>88942000</v>
      </c>
      <c r="K206" s="4">
        <v>71026000</v>
      </c>
      <c r="L206" s="4">
        <v>17916000</v>
      </c>
      <c r="M206" s="1" t="s">
        <v>20</v>
      </c>
    </row>
    <row r="207" spans="1:13">
      <c r="A207" s="1" t="s">
        <v>382</v>
      </c>
      <c r="B207" s="3">
        <v>45836</v>
      </c>
      <c r="C207" s="1" t="s">
        <v>51</v>
      </c>
      <c r="D207" s="1" t="s">
        <v>15</v>
      </c>
      <c r="E207" s="1" t="s">
        <v>57</v>
      </c>
      <c r="F207" s="1" t="s">
        <v>29</v>
      </c>
      <c r="G207" s="1" t="s">
        <v>49</v>
      </c>
      <c r="H207" s="1" t="s">
        <v>110</v>
      </c>
      <c r="I207" s="1">
        <v>1</v>
      </c>
      <c r="J207" s="4">
        <v>30261000</v>
      </c>
      <c r="K207" s="4">
        <v>35761000</v>
      </c>
      <c r="L207" s="4">
        <v>-5500000</v>
      </c>
      <c r="M207" s="1" t="s">
        <v>20</v>
      </c>
    </row>
    <row r="208" spans="1:13">
      <c r="A208" s="1" t="s">
        <v>383</v>
      </c>
      <c r="B208" s="3">
        <v>45732</v>
      </c>
      <c r="C208" s="1" t="s">
        <v>181</v>
      </c>
      <c r="D208" s="1" t="s">
        <v>23</v>
      </c>
      <c r="E208" s="1" t="s">
        <v>54</v>
      </c>
      <c r="F208" s="1" t="s">
        <v>17</v>
      </c>
      <c r="G208" s="1" t="s">
        <v>30</v>
      </c>
      <c r="H208" s="1" t="s">
        <v>31</v>
      </c>
      <c r="I208" s="1">
        <v>1</v>
      </c>
      <c r="J208" s="4">
        <v>28073000</v>
      </c>
      <c r="K208" s="4">
        <v>23066000</v>
      </c>
      <c r="L208" s="4">
        <v>5007000</v>
      </c>
      <c r="M208" s="1" t="s">
        <v>20</v>
      </c>
    </row>
    <row r="209" spans="1:13">
      <c r="A209" s="1" t="s">
        <v>384</v>
      </c>
      <c r="B209" s="3">
        <v>45933</v>
      </c>
      <c r="C209" s="1" t="s">
        <v>364</v>
      </c>
      <c r="D209" s="1" t="s">
        <v>23</v>
      </c>
      <c r="E209" s="1" t="s">
        <v>54</v>
      </c>
      <c r="F209" s="1" t="s">
        <v>17</v>
      </c>
      <c r="G209" s="1" t="s">
        <v>24</v>
      </c>
      <c r="H209" s="1" t="s">
        <v>31</v>
      </c>
      <c r="I209" s="1">
        <v>1</v>
      </c>
      <c r="J209" s="4">
        <v>27195000</v>
      </c>
      <c r="K209" s="4">
        <v>23759000</v>
      </c>
      <c r="L209" s="4">
        <v>3436000</v>
      </c>
      <c r="M209" s="1" t="s">
        <v>20</v>
      </c>
    </row>
    <row r="210" spans="1:13">
      <c r="A210" s="1" t="s">
        <v>385</v>
      </c>
      <c r="B210" s="3">
        <v>45984</v>
      </c>
      <c r="C210" s="1" t="s">
        <v>386</v>
      </c>
      <c r="D210" s="1" t="s">
        <v>23</v>
      </c>
      <c r="E210" s="1" t="s">
        <v>54</v>
      </c>
      <c r="F210" s="1" t="s">
        <v>17</v>
      </c>
      <c r="G210" s="1" t="s">
        <v>24</v>
      </c>
      <c r="H210" s="1" t="s">
        <v>31</v>
      </c>
      <c r="I210" s="1">
        <v>1</v>
      </c>
      <c r="J210" s="4">
        <v>23403000</v>
      </c>
      <c r="K210" s="4">
        <v>23620000</v>
      </c>
      <c r="L210" s="4">
        <v>-217000</v>
      </c>
      <c r="M210" s="1" t="s">
        <v>20</v>
      </c>
    </row>
    <row r="211" spans="1:13">
      <c r="A211" s="1" t="s">
        <v>387</v>
      </c>
      <c r="B211" s="3">
        <v>45866</v>
      </c>
      <c r="C211" s="1" t="s">
        <v>87</v>
      </c>
      <c r="D211" s="1" t="s">
        <v>15</v>
      </c>
      <c r="E211" s="1" t="s">
        <v>60</v>
      </c>
      <c r="F211" s="1" t="s">
        <v>61</v>
      </c>
      <c r="G211" s="1" t="s">
        <v>18</v>
      </c>
      <c r="H211" s="1" t="s">
        <v>34</v>
      </c>
      <c r="I211" s="1">
        <v>1</v>
      </c>
      <c r="J211" s="4">
        <v>62499000</v>
      </c>
      <c r="K211" s="4">
        <v>51792000</v>
      </c>
      <c r="L211" s="4">
        <v>10707000</v>
      </c>
      <c r="M211" s="1" t="s">
        <v>20</v>
      </c>
    </row>
    <row r="212" spans="1:13">
      <c r="A212" s="1" t="s">
        <v>388</v>
      </c>
      <c r="B212" s="3">
        <v>45991</v>
      </c>
      <c r="C212" s="1" t="s">
        <v>389</v>
      </c>
      <c r="D212" s="1" t="s">
        <v>23</v>
      </c>
      <c r="E212" s="1" t="s">
        <v>57</v>
      </c>
      <c r="F212" s="1" t="s">
        <v>29</v>
      </c>
      <c r="G212" s="1" t="s">
        <v>30</v>
      </c>
      <c r="H212" s="1" t="s">
        <v>34</v>
      </c>
      <c r="I212" s="1">
        <v>1</v>
      </c>
      <c r="J212" s="4">
        <v>37438000</v>
      </c>
      <c r="K212" s="4">
        <v>36967000</v>
      </c>
      <c r="L212" s="4">
        <v>471000</v>
      </c>
      <c r="M212" s="1" t="s">
        <v>20</v>
      </c>
    </row>
    <row r="213" spans="1:13">
      <c r="A213" s="1" t="s">
        <v>390</v>
      </c>
      <c r="B213" s="3">
        <v>45861</v>
      </c>
      <c r="C213" s="1" t="s">
        <v>125</v>
      </c>
      <c r="D213" s="1" t="s">
        <v>23</v>
      </c>
      <c r="E213" s="1" t="s">
        <v>40</v>
      </c>
      <c r="F213" s="1" t="s">
        <v>29</v>
      </c>
      <c r="G213" s="1" t="s">
        <v>24</v>
      </c>
      <c r="H213" s="1" t="s">
        <v>19</v>
      </c>
      <c r="I213" s="1">
        <v>1</v>
      </c>
      <c r="J213" s="4">
        <v>25282000</v>
      </c>
      <c r="K213" s="4">
        <v>19383000</v>
      </c>
      <c r="L213" s="4">
        <v>5899000</v>
      </c>
      <c r="M213" s="1" t="s">
        <v>20</v>
      </c>
    </row>
    <row r="214" spans="1:13">
      <c r="A214" s="1" t="s">
        <v>391</v>
      </c>
      <c r="B214" s="3">
        <v>45712</v>
      </c>
      <c r="C214" s="1" t="s">
        <v>392</v>
      </c>
      <c r="D214" s="1" t="s">
        <v>23</v>
      </c>
      <c r="E214" s="1" t="s">
        <v>64</v>
      </c>
      <c r="F214" s="1" t="s">
        <v>29</v>
      </c>
      <c r="G214" s="1" t="s">
        <v>24</v>
      </c>
      <c r="H214" s="1" t="s">
        <v>25</v>
      </c>
      <c r="I214" s="1">
        <v>1</v>
      </c>
      <c r="J214" s="4">
        <v>22514000</v>
      </c>
      <c r="K214" s="4">
        <v>18345000</v>
      </c>
      <c r="L214" s="4">
        <v>4169000</v>
      </c>
      <c r="M214" s="1" t="s">
        <v>20</v>
      </c>
    </row>
    <row r="215" spans="1:13">
      <c r="A215" s="1" t="s">
        <v>393</v>
      </c>
      <c r="B215" s="3">
        <v>45797</v>
      </c>
      <c r="C215" s="1" t="s">
        <v>394</v>
      </c>
      <c r="D215" s="1" t="s">
        <v>23</v>
      </c>
      <c r="E215" s="1" t="s">
        <v>54</v>
      </c>
      <c r="F215" s="1" t="s">
        <v>17</v>
      </c>
      <c r="G215" s="1" t="s">
        <v>41</v>
      </c>
      <c r="H215" s="1" t="s">
        <v>110</v>
      </c>
      <c r="I215" s="1">
        <v>1</v>
      </c>
      <c r="J215" s="4">
        <v>28490000</v>
      </c>
      <c r="K215" s="4">
        <v>22637000</v>
      </c>
      <c r="L215" s="4">
        <v>5853000</v>
      </c>
      <c r="M215" s="1" t="s">
        <v>20</v>
      </c>
    </row>
    <row r="216" spans="1:13">
      <c r="A216" s="1" t="s">
        <v>395</v>
      </c>
      <c r="B216" s="3">
        <v>45948</v>
      </c>
      <c r="C216" s="1" t="s">
        <v>151</v>
      </c>
      <c r="D216" s="1" t="s">
        <v>23</v>
      </c>
      <c r="E216" s="1" t="s">
        <v>60</v>
      </c>
      <c r="F216" s="1" t="s">
        <v>61</v>
      </c>
      <c r="G216" s="1" t="s">
        <v>18</v>
      </c>
      <c r="H216" s="1" t="s">
        <v>25</v>
      </c>
      <c r="I216" s="1">
        <v>1</v>
      </c>
      <c r="J216" s="4">
        <v>62405000</v>
      </c>
      <c r="K216" s="4">
        <v>50023000</v>
      </c>
      <c r="L216" s="4">
        <v>12382000</v>
      </c>
      <c r="M216" s="1" t="s">
        <v>20</v>
      </c>
    </row>
    <row r="217" spans="1:13">
      <c r="A217" s="1" t="s">
        <v>396</v>
      </c>
      <c r="B217" s="3">
        <v>46000</v>
      </c>
      <c r="C217" s="1" t="s">
        <v>397</v>
      </c>
      <c r="D217" s="1" t="s">
        <v>15</v>
      </c>
      <c r="E217" s="1" t="s">
        <v>16</v>
      </c>
      <c r="F217" s="1" t="s">
        <v>17</v>
      </c>
      <c r="G217" s="1" t="s">
        <v>41</v>
      </c>
      <c r="H217" s="1" t="s">
        <v>110</v>
      </c>
      <c r="I217" s="1">
        <v>1</v>
      </c>
      <c r="J217" s="4">
        <v>19110000</v>
      </c>
      <c r="K217" s="4">
        <v>13785000</v>
      </c>
      <c r="L217" s="4">
        <v>5325000</v>
      </c>
      <c r="M217" s="1" t="s">
        <v>20</v>
      </c>
    </row>
    <row r="218" spans="1:13">
      <c r="A218" s="1" t="s">
        <v>398</v>
      </c>
      <c r="B218" s="3">
        <v>45812</v>
      </c>
      <c r="C218" s="1" t="s">
        <v>79</v>
      </c>
      <c r="D218" s="1" t="s">
        <v>15</v>
      </c>
      <c r="E218" s="1" t="s">
        <v>57</v>
      </c>
      <c r="F218" s="1" t="s">
        <v>29</v>
      </c>
      <c r="G218" s="1" t="s">
        <v>41</v>
      </c>
      <c r="H218" s="1" t="s">
        <v>31</v>
      </c>
      <c r="I218" s="1">
        <v>1</v>
      </c>
      <c r="J218" s="4">
        <v>30550000</v>
      </c>
      <c r="K218" s="4">
        <v>34564000</v>
      </c>
      <c r="L218" s="4">
        <v>-4014000</v>
      </c>
      <c r="M218" s="1" t="s">
        <v>20</v>
      </c>
    </row>
    <row r="219" spans="1:13">
      <c r="A219" s="1" t="s">
        <v>399</v>
      </c>
      <c r="B219" s="3">
        <v>45865</v>
      </c>
      <c r="C219" s="1" t="s">
        <v>400</v>
      </c>
      <c r="D219" s="1" t="s">
        <v>15</v>
      </c>
      <c r="E219" s="1" t="s">
        <v>60</v>
      </c>
      <c r="F219" s="1" t="s">
        <v>61</v>
      </c>
      <c r="G219" s="1" t="s">
        <v>41</v>
      </c>
      <c r="H219" s="1" t="s">
        <v>110</v>
      </c>
      <c r="I219" s="1">
        <v>2</v>
      </c>
      <c r="J219" s="4">
        <v>126890000</v>
      </c>
      <c r="K219" s="4">
        <v>102922000</v>
      </c>
      <c r="L219" s="4">
        <v>23968000</v>
      </c>
      <c r="M219" s="1" t="s">
        <v>20</v>
      </c>
    </row>
    <row r="220" spans="1:13">
      <c r="A220" s="1" t="s">
        <v>401</v>
      </c>
      <c r="B220" s="3">
        <v>45972</v>
      </c>
      <c r="C220" s="1" t="s">
        <v>22</v>
      </c>
      <c r="D220" s="1" t="s">
        <v>15</v>
      </c>
      <c r="E220" s="1" t="s">
        <v>54</v>
      </c>
      <c r="F220" s="1" t="s">
        <v>17</v>
      </c>
      <c r="G220" s="1" t="s">
        <v>24</v>
      </c>
      <c r="H220" s="1" t="s">
        <v>25</v>
      </c>
      <c r="I220" s="1">
        <v>1</v>
      </c>
      <c r="J220" s="4">
        <v>23350000</v>
      </c>
      <c r="K220" s="4">
        <v>24334000</v>
      </c>
      <c r="L220" s="4">
        <v>-984000</v>
      </c>
      <c r="M220" s="1" t="s">
        <v>20</v>
      </c>
    </row>
    <row r="221" spans="1:13">
      <c r="A221" s="1" t="s">
        <v>402</v>
      </c>
      <c r="B221" s="3">
        <v>45933</v>
      </c>
      <c r="C221" s="1" t="s">
        <v>257</v>
      </c>
      <c r="D221" s="1" t="s">
        <v>15</v>
      </c>
      <c r="E221" s="1" t="s">
        <v>40</v>
      </c>
      <c r="F221" s="1" t="s">
        <v>29</v>
      </c>
      <c r="G221" s="1" t="s">
        <v>49</v>
      </c>
      <c r="H221" s="1" t="s">
        <v>19</v>
      </c>
      <c r="I221" s="1">
        <v>1</v>
      </c>
      <c r="J221" s="4">
        <v>24683000</v>
      </c>
      <c r="K221" s="4">
        <v>19990000</v>
      </c>
      <c r="L221" s="4">
        <v>4693000</v>
      </c>
      <c r="M221" s="1" t="s">
        <v>20</v>
      </c>
    </row>
    <row r="222" spans="1:13">
      <c r="A222" s="1" t="s">
        <v>403</v>
      </c>
      <c r="B222" s="3">
        <v>46018</v>
      </c>
      <c r="C222" s="1" t="s">
        <v>241</v>
      </c>
      <c r="D222" s="1" t="s">
        <v>15</v>
      </c>
      <c r="E222" s="1" t="s">
        <v>44</v>
      </c>
      <c r="F222" s="1" t="s">
        <v>17</v>
      </c>
      <c r="G222" s="1" t="s">
        <v>30</v>
      </c>
      <c r="H222" s="1" t="s">
        <v>31</v>
      </c>
      <c r="I222" s="1">
        <v>1</v>
      </c>
      <c r="J222" s="4">
        <v>27765000</v>
      </c>
      <c r="K222" s="4">
        <v>22678000</v>
      </c>
      <c r="L222" s="4">
        <v>5087000</v>
      </c>
      <c r="M222" s="1" t="s">
        <v>20</v>
      </c>
    </row>
    <row r="223" spans="1:13">
      <c r="A223" s="1" t="s">
        <v>404</v>
      </c>
      <c r="B223" s="3">
        <v>45825</v>
      </c>
      <c r="C223" s="1" t="s">
        <v>397</v>
      </c>
      <c r="D223" s="1" t="s">
        <v>23</v>
      </c>
      <c r="E223" s="1" t="s">
        <v>64</v>
      </c>
      <c r="F223" s="1" t="s">
        <v>29</v>
      </c>
      <c r="G223" s="1" t="s">
        <v>18</v>
      </c>
      <c r="H223" s="1" t="s">
        <v>25</v>
      </c>
      <c r="I223" s="1">
        <v>1</v>
      </c>
      <c r="J223" s="4">
        <v>16366000</v>
      </c>
      <c r="K223" s="4">
        <v>18280000</v>
      </c>
      <c r="L223" s="4">
        <v>-1914000</v>
      </c>
      <c r="M223" s="1" t="s">
        <v>20</v>
      </c>
    </row>
    <row r="224" spans="1:13">
      <c r="A224" s="1" t="s">
        <v>405</v>
      </c>
      <c r="B224" s="3">
        <v>45725</v>
      </c>
      <c r="C224" s="1" t="s">
        <v>95</v>
      </c>
      <c r="D224" s="1" t="s">
        <v>23</v>
      </c>
      <c r="E224" s="1" t="s">
        <v>28</v>
      </c>
      <c r="F224" s="1" t="s">
        <v>29</v>
      </c>
      <c r="G224" s="1" t="s">
        <v>41</v>
      </c>
      <c r="H224" s="1" t="s">
        <v>34</v>
      </c>
      <c r="I224" s="1">
        <v>1</v>
      </c>
      <c r="J224" s="4">
        <v>52006000</v>
      </c>
      <c r="K224" s="4">
        <v>44835000</v>
      </c>
      <c r="L224" s="4">
        <v>7171000</v>
      </c>
      <c r="M224" s="1" t="s">
        <v>20</v>
      </c>
    </row>
    <row r="225" spans="1:13">
      <c r="A225" s="1" t="s">
        <v>406</v>
      </c>
      <c r="B225" s="3">
        <v>45769</v>
      </c>
      <c r="C225" s="1" t="s">
        <v>36</v>
      </c>
      <c r="D225" s="1" t="s">
        <v>23</v>
      </c>
      <c r="E225" s="1" t="s">
        <v>57</v>
      </c>
      <c r="F225" s="1" t="s">
        <v>29</v>
      </c>
      <c r="G225" s="1" t="s">
        <v>49</v>
      </c>
      <c r="H225" s="1" t="s">
        <v>34</v>
      </c>
      <c r="I225" s="1">
        <v>1</v>
      </c>
      <c r="J225" s="4">
        <v>40776000</v>
      </c>
      <c r="K225" s="4">
        <v>37254000</v>
      </c>
      <c r="L225" s="4">
        <v>3522000</v>
      </c>
      <c r="M225" s="1" t="s">
        <v>20</v>
      </c>
    </row>
    <row r="226" spans="1:13">
      <c r="A226" s="1" t="s">
        <v>407</v>
      </c>
      <c r="B226" s="3">
        <v>45804</v>
      </c>
      <c r="C226" s="1" t="s">
        <v>163</v>
      </c>
      <c r="D226" s="1" t="s">
        <v>15</v>
      </c>
      <c r="E226" s="1" t="s">
        <v>44</v>
      </c>
      <c r="F226" s="1" t="s">
        <v>17</v>
      </c>
      <c r="G226" s="1" t="s">
        <v>49</v>
      </c>
      <c r="H226" s="1" t="s">
        <v>25</v>
      </c>
      <c r="I226" s="1">
        <v>1</v>
      </c>
      <c r="J226" s="4">
        <v>28280000</v>
      </c>
      <c r="K226" s="4">
        <v>22118000</v>
      </c>
      <c r="L226" s="4">
        <v>6162000</v>
      </c>
      <c r="M226" s="1" t="s">
        <v>20</v>
      </c>
    </row>
    <row r="227" spans="1:13">
      <c r="A227" s="1" t="s">
        <v>408</v>
      </c>
      <c r="B227" s="3">
        <v>45851</v>
      </c>
      <c r="C227" s="1" t="s">
        <v>177</v>
      </c>
      <c r="D227" s="1" t="s">
        <v>15</v>
      </c>
      <c r="E227" s="1" t="s">
        <v>44</v>
      </c>
      <c r="F227" s="1" t="s">
        <v>17</v>
      </c>
      <c r="G227" s="1" t="s">
        <v>24</v>
      </c>
      <c r="H227" s="1" t="s">
        <v>25</v>
      </c>
      <c r="I227" s="1">
        <v>1</v>
      </c>
      <c r="J227" s="4">
        <v>26768000</v>
      </c>
      <c r="K227" s="4">
        <v>22135000</v>
      </c>
      <c r="L227" s="4">
        <v>4633000</v>
      </c>
      <c r="M227" s="1" t="s">
        <v>20</v>
      </c>
    </row>
    <row r="228" spans="1:13">
      <c r="A228" s="1" t="s">
        <v>409</v>
      </c>
      <c r="B228" s="3">
        <v>45928</v>
      </c>
      <c r="C228" s="1" t="s">
        <v>410</v>
      </c>
      <c r="D228" s="1" t="s">
        <v>15</v>
      </c>
      <c r="E228" s="1" t="s">
        <v>16</v>
      </c>
      <c r="F228" s="1" t="s">
        <v>17</v>
      </c>
      <c r="G228" s="1" t="s">
        <v>24</v>
      </c>
      <c r="H228" s="1" t="s">
        <v>25</v>
      </c>
      <c r="I228" s="1">
        <v>2</v>
      </c>
      <c r="J228" s="4">
        <v>37379000</v>
      </c>
      <c r="K228" s="4">
        <v>30388000</v>
      </c>
      <c r="L228" s="4">
        <v>6991000</v>
      </c>
      <c r="M228" s="1" t="s">
        <v>20</v>
      </c>
    </row>
    <row r="229" spans="1:13">
      <c r="A229" s="1" t="s">
        <v>411</v>
      </c>
      <c r="B229" s="3">
        <v>45930</v>
      </c>
      <c r="C229" s="1" t="s">
        <v>412</v>
      </c>
      <c r="D229" s="1" t="s">
        <v>23</v>
      </c>
      <c r="E229" s="1" t="s">
        <v>44</v>
      </c>
      <c r="F229" s="1" t="s">
        <v>17</v>
      </c>
      <c r="G229" s="1" t="s">
        <v>18</v>
      </c>
      <c r="H229" s="1" t="s">
        <v>34</v>
      </c>
      <c r="I229" s="1">
        <v>1</v>
      </c>
      <c r="J229" s="4">
        <v>25444000</v>
      </c>
      <c r="K229" s="4">
        <v>21121000</v>
      </c>
      <c r="L229" s="4">
        <v>4323000</v>
      </c>
      <c r="M229" s="1" t="s">
        <v>20</v>
      </c>
    </row>
    <row r="230" spans="1:13">
      <c r="A230" s="1" t="s">
        <v>413</v>
      </c>
      <c r="B230" s="3">
        <v>45996</v>
      </c>
      <c r="C230" s="1" t="s">
        <v>414</v>
      </c>
      <c r="D230" s="1" t="s">
        <v>15</v>
      </c>
      <c r="E230" s="1" t="s">
        <v>44</v>
      </c>
      <c r="F230" s="1" t="s">
        <v>17</v>
      </c>
      <c r="G230" s="1" t="s">
        <v>49</v>
      </c>
      <c r="H230" s="1" t="s">
        <v>19</v>
      </c>
      <c r="I230" s="1">
        <v>2</v>
      </c>
      <c r="J230" s="4">
        <v>49928000</v>
      </c>
      <c r="K230" s="4">
        <v>42319000</v>
      </c>
      <c r="L230" s="4">
        <v>7609000</v>
      </c>
      <c r="M230" s="1" t="s">
        <v>20</v>
      </c>
    </row>
    <row r="231" spans="1:13">
      <c r="A231" s="1" t="s">
        <v>415</v>
      </c>
      <c r="B231" s="3">
        <v>46002</v>
      </c>
      <c r="C231" s="1" t="s">
        <v>293</v>
      </c>
      <c r="D231" s="1" t="s">
        <v>23</v>
      </c>
      <c r="E231" s="1" t="s">
        <v>40</v>
      </c>
      <c r="F231" s="1" t="s">
        <v>29</v>
      </c>
      <c r="G231" s="1" t="s">
        <v>18</v>
      </c>
      <c r="H231" s="1" t="s">
        <v>31</v>
      </c>
      <c r="I231" s="1">
        <v>1</v>
      </c>
      <c r="J231" s="4">
        <v>23815000</v>
      </c>
      <c r="K231" s="4">
        <v>19274000</v>
      </c>
      <c r="L231" s="4">
        <v>4541000</v>
      </c>
      <c r="M231" s="1" t="s">
        <v>20</v>
      </c>
    </row>
    <row r="232" spans="1:13">
      <c r="A232" s="1" t="s">
        <v>416</v>
      </c>
      <c r="B232" s="3">
        <v>45915</v>
      </c>
      <c r="C232" s="1" t="s">
        <v>116</v>
      </c>
      <c r="D232" s="1" t="s">
        <v>23</v>
      </c>
      <c r="E232" s="1" t="s">
        <v>64</v>
      </c>
      <c r="F232" s="1" t="s">
        <v>29</v>
      </c>
      <c r="G232" s="1" t="s">
        <v>41</v>
      </c>
      <c r="H232" s="1" t="s">
        <v>31</v>
      </c>
      <c r="I232" s="1">
        <v>2</v>
      </c>
      <c r="J232" s="4">
        <v>44655000</v>
      </c>
      <c r="K232" s="4">
        <v>36884000</v>
      </c>
      <c r="L232" s="4">
        <v>7771000</v>
      </c>
      <c r="M232" s="1" t="s">
        <v>20</v>
      </c>
    </row>
    <row r="233" spans="1:13">
      <c r="A233" s="1" t="s">
        <v>417</v>
      </c>
      <c r="B233" s="3">
        <v>45812</v>
      </c>
      <c r="C233" s="1" t="s">
        <v>418</v>
      </c>
      <c r="D233" s="1" t="s">
        <v>15</v>
      </c>
      <c r="E233" s="1" t="s">
        <v>64</v>
      </c>
      <c r="F233" s="1" t="s">
        <v>29</v>
      </c>
      <c r="G233" s="1" t="s">
        <v>30</v>
      </c>
      <c r="H233" s="1" t="s">
        <v>37</v>
      </c>
      <c r="I233" s="1">
        <v>1</v>
      </c>
      <c r="J233" s="4">
        <v>15741000</v>
      </c>
      <c r="K233" s="4">
        <v>17889000</v>
      </c>
      <c r="L233" s="4">
        <v>-2148000</v>
      </c>
      <c r="M233" s="1" t="s">
        <v>20</v>
      </c>
    </row>
    <row r="234" spans="1:13">
      <c r="A234" s="1" t="s">
        <v>419</v>
      </c>
      <c r="B234" s="3">
        <v>46005</v>
      </c>
      <c r="C234" s="1" t="s">
        <v>420</v>
      </c>
      <c r="D234" s="1" t="s">
        <v>23</v>
      </c>
      <c r="E234" s="1" t="s">
        <v>44</v>
      </c>
      <c r="F234" s="1" t="s">
        <v>17</v>
      </c>
      <c r="G234" s="1" t="s">
        <v>49</v>
      </c>
      <c r="H234" s="1" t="s">
        <v>25</v>
      </c>
      <c r="I234" s="1">
        <v>3</v>
      </c>
      <c r="J234" s="4">
        <v>84461000</v>
      </c>
      <c r="K234" s="4">
        <v>66521000</v>
      </c>
      <c r="L234" s="4">
        <v>17940000</v>
      </c>
      <c r="M234" s="1" t="s">
        <v>20</v>
      </c>
    </row>
    <row r="235" spans="1:13">
      <c r="A235" s="1" t="s">
        <v>421</v>
      </c>
      <c r="B235" s="3">
        <v>45734</v>
      </c>
      <c r="C235" s="1" t="s">
        <v>422</v>
      </c>
      <c r="D235" s="1" t="s">
        <v>23</v>
      </c>
      <c r="E235" s="1" t="s">
        <v>54</v>
      </c>
      <c r="F235" s="1" t="s">
        <v>17</v>
      </c>
      <c r="G235" s="1" t="s">
        <v>49</v>
      </c>
      <c r="H235" s="1" t="s">
        <v>34</v>
      </c>
      <c r="I235" s="1">
        <v>1</v>
      </c>
      <c r="J235" s="4">
        <v>27683000</v>
      </c>
      <c r="K235" s="4">
        <v>22563000</v>
      </c>
      <c r="L235" s="4">
        <v>5120000</v>
      </c>
      <c r="M235" s="1" t="s">
        <v>20</v>
      </c>
    </row>
    <row r="236" spans="1:13">
      <c r="A236" s="1" t="s">
        <v>423</v>
      </c>
      <c r="B236" s="3">
        <v>45945</v>
      </c>
      <c r="C236" s="1" t="s">
        <v>358</v>
      </c>
      <c r="D236" s="1" t="s">
        <v>23</v>
      </c>
      <c r="E236" s="1" t="s">
        <v>44</v>
      </c>
      <c r="F236" s="1" t="s">
        <v>17</v>
      </c>
      <c r="G236" s="1" t="s">
        <v>49</v>
      </c>
      <c r="H236" s="1" t="s">
        <v>110</v>
      </c>
      <c r="I236" s="1">
        <v>1</v>
      </c>
      <c r="J236" s="4">
        <v>26248000</v>
      </c>
      <c r="K236" s="4">
        <v>21266000</v>
      </c>
      <c r="L236" s="4">
        <v>4982000</v>
      </c>
      <c r="M236" s="1" t="s">
        <v>20</v>
      </c>
    </row>
    <row r="237" spans="1:13">
      <c r="A237" s="1" t="s">
        <v>424</v>
      </c>
      <c r="B237" s="3">
        <v>45705</v>
      </c>
      <c r="C237" s="1" t="s">
        <v>425</v>
      </c>
      <c r="D237" s="1" t="s">
        <v>15</v>
      </c>
      <c r="E237" s="1" t="s">
        <v>57</v>
      </c>
      <c r="F237" s="1" t="s">
        <v>29</v>
      </c>
      <c r="G237" s="1" t="s">
        <v>30</v>
      </c>
      <c r="H237" s="1" t="s">
        <v>19</v>
      </c>
      <c r="I237" s="1">
        <v>1</v>
      </c>
      <c r="J237" s="4">
        <v>42528000</v>
      </c>
      <c r="K237" s="4">
        <v>35873000</v>
      </c>
      <c r="L237" s="4">
        <v>6655000</v>
      </c>
      <c r="M237" s="1" t="s">
        <v>20</v>
      </c>
    </row>
    <row r="238" spans="1:13">
      <c r="A238" s="1" t="s">
        <v>426</v>
      </c>
      <c r="B238" s="3">
        <v>46001</v>
      </c>
      <c r="C238" s="1" t="s">
        <v>427</v>
      </c>
      <c r="D238" s="1" t="s">
        <v>23</v>
      </c>
      <c r="E238" s="1" t="s">
        <v>57</v>
      </c>
      <c r="F238" s="1" t="s">
        <v>29</v>
      </c>
      <c r="G238" s="1" t="s">
        <v>30</v>
      </c>
      <c r="H238" s="1" t="s">
        <v>37</v>
      </c>
      <c r="I238" s="1">
        <v>2</v>
      </c>
      <c r="J238" s="4">
        <v>84563000</v>
      </c>
      <c r="K238" s="4">
        <v>74245000</v>
      </c>
      <c r="L238" s="4">
        <v>10318000</v>
      </c>
      <c r="M238" s="1" t="s">
        <v>20</v>
      </c>
    </row>
    <row r="239" spans="1:13">
      <c r="A239" s="1" t="s">
        <v>428</v>
      </c>
      <c r="B239" s="3">
        <v>45718</v>
      </c>
      <c r="C239" s="1" t="s">
        <v>224</v>
      </c>
      <c r="D239" s="1" t="s">
        <v>15</v>
      </c>
      <c r="E239" s="1" t="s">
        <v>40</v>
      </c>
      <c r="F239" s="1" t="s">
        <v>29</v>
      </c>
      <c r="G239" s="1" t="s">
        <v>24</v>
      </c>
      <c r="H239" s="1" t="s">
        <v>110</v>
      </c>
      <c r="I239" s="1">
        <v>2</v>
      </c>
      <c r="J239" s="4">
        <v>49461000</v>
      </c>
      <c r="K239" s="4">
        <v>40407000</v>
      </c>
      <c r="L239" s="4">
        <v>9054000</v>
      </c>
      <c r="M239" s="1" t="s">
        <v>20</v>
      </c>
    </row>
    <row r="240" spans="1:13">
      <c r="A240" s="1" t="s">
        <v>429</v>
      </c>
      <c r="B240" s="3">
        <v>45802</v>
      </c>
      <c r="C240" s="1" t="s">
        <v>97</v>
      </c>
      <c r="D240" s="1" t="s">
        <v>23</v>
      </c>
      <c r="E240" s="1" t="s">
        <v>44</v>
      </c>
      <c r="F240" s="1" t="s">
        <v>17</v>
      </c>
      <c r="G240" s="1" t="s">
        <v>49</v>
      </c>
      <c r="H240" s="1" t="s">
        <v>110</v>
      </c>
      <c r="I240" s="1">
        <v>1</v>
      </c>
      <c r="J240" s="4">
        <v>25811000</v>
      </c>
      <c r="K240" s="4">
        <v>21828000</v>
      </c>
      <c r="L240" s="4">
        <v>3983000</v>
      </c>
      <c r="M240" s="1" t="s">
        <v>20</v>
      </c>
    </row>
    <row r="241" spans="1:13">
      <c r="A241" s="1" t="s">
        <v>430</v>
      </c>
      <c r="B241" s="3">
        <v>45762</v>
      </c>
      <c r="C241" s="1" t="s">
        <v>427</v>
      </c>
      <c r="D241" s="1" t="s">
        <v>23</v>
      </c>
      <c r="E241" s="1" t="s">
        <v>44</v>
      </c>
      <c r="F241" s="1" t="s">
        <v>17</v>
      </c>
      <c r="G241" s="1" t="s">
        <v>24</v>
      </c>
      <c r="H241" s="1" t="s">
        <v>19</v>
      </c>
      <c r="I241" s="1">
        <v>1</v>
      </c>
      <c r="J241" s="4">
        <v>25672000</v>
      </c>
      <c r="K241" s="4">
        <v>21028000</v>
      </c>
      <c r="L241" s="4">
        <v>4644000</v>
      </c>
      <c r="M241" s="1" t="s">
        <v>20</v>
      </c>
    </row>
    <row r="242" spans="1:13">
      <c r="A242" s="1" t="s">
        <v>431</v>
      </c>
      <c r="B242" s="3">
        <v>45871</v>
      </c>
      <c r="C242" s="1" t="s">
        <v>56</v>
      </c>
      <c r="D242" s="1" t="s">
        <v>23</v>
      </c>
      <c r="E242" s="1" t="s">
        <v>54</v>
      </c>
      <c r="F242" s="1" t="s">
        <v>17</v>
      </c>
      <c r="G242" s="1" t="s">
        <v>41</v>
      </c>
      <c r="H242" s="1" t="s">
        <v>110</v>
      </c>
      <c r="I242" s="1">
        <v>1</v>
      </c>
      <c r="J242" s="4">
        <v>28901000</v>
      </c>
      <c r="K242" s="4">
        <v>22610000</v>
      </c>
      <c r="L242" s="4">
        <v>6291000</v>
      </c>
      <c r="M242" s="1" t="s">
        <v>20</v>
      </c>
    </row>
    <row r="243" spans="1:13">
      <c r="A243" s="1" t="s">
        <v>432</v>
      </c>
      <c r="B243" s="3">
        <v>45908</v>
      </c>
      <c r="C243" s="1" t="s">
        <v>410</v>
      </c>
      <c r="D243" s="1" t="s">
        <v>15</v>
      </c>
      <c r="E243" s="1" t="s">
        <v>64</v>
      </c>
      <c r="F243" s="1" t="s">
        <v>29</v>
      </c>
      <c r="G243" s="1" t="s">
        <v>24</v>
      </c>
      <c r="H243" s="1" t="s">
        <v>25</v>
      </c>
      <c r="I243" s="1">
        <v>1</v>
      </c>
      <c r="J243" s="4">
        <v>21161000</v>
      </c>
      <c r="K243" s="4">
        <v>18840000</v>
      </c>
      <c r="L243" s="4">
        <v>2321000</v>
      </c>
      <c r="M243" s="1" t="s">
        <v>20</v>
      </c>
    </row>
    <row r="244" spans="1:13">
      <c r="A244" s="1" t="s">
        <v>433</v>
      </c>
      <c r="B244" s="3">
        <v>45752</v>
      </c>
      <c r="C244" s="1" t="s">
        <v>56</v>
      </c>
      <c r="D244" s="1" t="s">
        <v>23</v>
      </c>
      <c r="E244" s="1" t="s">
        <v>64</v>
      </c>
      <c r="F244" s="1" t="s">
        <v>29</v>
      </c>
      <c r="G244" s="1" t="s">
        <v>18</v>
      </c>
      <c r="H244" s="1" t="s">
        <v>34</v>
      </c>
      <c r="I244" s="1">
        <v>1</v>
      </c>
      <c r="J244" s="4">
        <v>20848000</v>
      </c>
      <c r="K244" s="4">
        <v>17447000</v>
      </c>
      <c r="L244" s="4">
        <v>3401000</v>
      </c>
      <c r="M244" s="1" t="s">
        <v>20</v>
      </c>
    </row>
    <row r="245" spans="1:13">
      <c r="A245" s="1" t="s">
        <v>434</v>
      </c>
      <c r="B245" s="3">
        <v>45869</v>
      </c>
      <c r="C245" s="1" t="s">
        <v>89</v>
      </c>
      <c r="D245" s="1" t="s">
        <v>15</v>
      </c>
      <c r="E245" s="1" t="s">
        <v>16</v>
      </c>
      <c r="F245" s="1" t="s">
        <v>17</v>
      </c>
      <c r="G245" s="1" t="s">
        <v>24</v>
      </c>
      <c r="H245" s="1" t="s">
        <v>37</v>
      </c>
      <c r="I245" s="1">
        <v>1</v>
      </c>
      <c r="J245" s="4">
        <v>17273000</v>
      </c>
      <c r="K245" s="4">
        <v>14092000</v>
      </c>
      <c r="L245" s="4">
        <v>3181000</v>
      </c>
      <c r="M245" s="1" t="s">
        <v>20</v>
      </c>
    </row>
    <row r="246" spans="1:13">
      <c r="A246" s="1" t="s">
        <v>435</v>
      </c>
      <c r="B246" s="3">
        <v>45999</v>
      </c>
      <c r="C246" s="1" t="s">
        <v>436</v>
      </c>
      <c r="D246" s="1" t="s">
        <v>15</v>
      </c>
      <c r="E246" s="1" t="s">
        <v>64</v>
      </c>
      <c r="F246" s="1" t="s">
        <v>29</v>
      </c>
      <c r="G246" s="1" t="s">
        <v>24</v>
      </c>
      <c r="H246" s="1" t="s">
        <v>37</v>
      </c>
      <c r="I246" s="1">
        <v>1</v>
      </c>
      <c r="J246" s="4">
        <v>20725000</v>
      </c>
      <c r="K246" s="4">
        <v>18359000</v>
      </c>
      <c r="L246" s="4">
        <v>2366000</v>
      </c>
      <c r="M246" s="1" t="s">
        <v>20</v>
      </c>
    </row>
    <row r="247" spans="1:13">
      <c r="A247" s="1" t="s">
        <v>437</v>
      </c>
      <c r="B247" s="3">
        <v>45798</v>
      </c>
      <c r="C247" s="1" t="s">
        <v>177</v>
      </c>
      <c r="D247" s="1" t="s">
        <v>23</v>
      </c>
      <c r="E247" s="1" t="s">
        <v>57</v>
      </c>
      <c r="F247" s="1" t="s">
        <v>29</v>
      </c>
      <c r="G247" s="1" t="s">
        <v>18</v>
      </c>
      <c r="H247" s="1" t="s">
        <v>34</v>
      </c>
      <c r="I247" s="1">
        <v>1</v>
      </c>
      <c r="J247" s="4">
        <v>44321000</v>
      </c>
      <c r="K247" s="4">
        <v>35254000</v>
      </c>
      <c r="L247" s="4">
        <v>9067000</v>
      </c>
      <c r="M247" s="1" t="s">
        <v>20</v>
      </c>
    </row>
    <row r="248" spans="1:13">
      <c r="A248" s="1" t="s">
        <v>438</v>
      </c>
      <c r="B248" s="3">
        <v>45926</v>
      </c>
      <c r="C248" s="1" t="s">
        <v>439</v>
      </c>
      <c r="D248" s="1" t="s">
        <v>23</v>
      </c>
      <c r="E248" s="1" t="s">
        <v>16</v>
      </c>
      <c r="F248" s="1" t="s">
        <v>17</v>
      </c>
      <c r="G248" s="1" t="s">
        <v>49</v>
      </c>
      <c r="H248" s="1" t="s">
        <v>25</v>
      </c>
      <c r="I248" s="1">
        <v>1</v>
      </c>
      <c r="J248" s="4">
        <v>18828000</v>
      </c>
      <c r="K248" s="4">
        <v>14163000</v>
      </c>
      <c r="L248" s="4">
        <v>4665000</v>
      </c>
      <c r="M248" s="1" t="s">
        <v>20</v>
      </c>
    </row>
    <row r="249" spans="1:13">
      <c r="A249" s="1" t="s">
        <v>440</v>
      </c>
      <c r="B249" s="3">
        <v>45947</v>
      </c>
      <c r="C249" s="1" t="s">
        <v>196</v>
      </c>
      <c r="D249" s="1" t="s">
        <v>15</v>
      </c>
      <c r="E249" s="1" t="s">
        <v>54</v>
      </c>
      <c r="F249" s="1" t="s">
        <v>17</v>
      </c>
      <c r="G249" s="1" t="s">
        <v>18</v>
      </c>
      <c r="H249" s="1" t="s">
        <v>34</v>
      </c>
      <c r="I249" s="1">
        <v>1</v>
      </c>
      <c r="J249" s="4">
        <v>29858000</v>
      </c>
      <c r="K249" s="4">
        <v>22227000</v>
      </c>
      <c r="L249" s="4">
        <v>7631000</v>
      </c>
      <c r="M249" s="1" t="s">
        <v>69</v>
      </c>
    </row>
    <row r="250" spans="1:13">
      <c r="A250" s="1" t="s">
        <v>441</v>
      </c>
      <c r="B250" s="3">
        <v>45865</v>
      </c>
      <c r="C250" s="1" t="s">
        <v>442</v>
      </c>
      <c r="D250" s="1" t="s">
        <v>15</v>
      </c>
      <c r="E250" s="1" t="s">
        <v>44</v>
      </c>
      <c r="F250" s="1" t="s">
        <v>17</v>
      </c>
      <c r="G250" s="1" t="s">
        <v>41</v>
      </c>
      <c r="H250" s="1" t="s">
        <v>19</v>
      </c>
      <c r="I250" s="1">
        <v>1</v>
      </c>
      <c r="J250" s="4">
        <v>24943000</v>
      </c>
      <c r="K250" s="4">
        <v>21084000</v>
      </c>
      <c r="L250" s="4">
        <v>3859000</v>
      </c>
      <c r="M250" s="1" t="s">
        <v>20</v>
      </c>
    </row>
    <row r="251" spans="1:13">
      <c r="A251" s="1" t="s">
        <v>443</v>
      </c>
      <c r="B251" s="3">
        <v>45706</v>
      </c>
      <c r="C251" s="1" t="s">
        <v>444</v>
      </c>
      <c r="D251" s="1" t="s">
        <v>15</v>
      </c>
      <c r="E251" s="1" t="s">
        <v>64</v>
      </c>
      <c r="F251" s="1" t="s">
        <v>29</v>
      </c>
      <c r="G251" s="1" t="s">
        <v>18</v>
      </c>
      <c r="H251" s="1" t="s">
        <v>34</v>
      </c>
      <c r="I251" s="1">
        <v>1</v>
      </c>
      <c r="J251" s="4">
        <v>23258000</v>
      </c>
      <c r="K251" s="4">
        <v>18652000</v>
      </c>
      <c r="L251" s="4">
        <v>4606000</v>
      </c>
      <c r="M251" s="1" t="s">
        <v>20</v>
      </c>
    </row>
    <row r="252" spans="1:13">
      <c r="A252" s="1" t="s">
        <v>445</v>
      </c>
      <c r="B252" s="3">
        <v>46008</v>
      </c>
      <c r="C252" s="1" t="s">
        <v>386</v>
      </c>
      <c r="D252" s="1" t="s">
        <v>15</v>
      </c>
      <c r="E252" s="1" t="s">
        <v>64</v>
      </c>
      <c r="F252" s="1" t="s">
        <v>29</v>
      </c>
      <c r="G252" s="1" t="s">
        <v>30</v>
      </c>
      <c r="H252" s="1" t="s">
        <v>19</v>
      </c>
      <c r="I252" s="1">
        <v>1</v>
      </c>
      <c r="J252" s="4">
        <v>20774000</v>
      </c>
      <c r="K252" s="4">
        <v>19085000</v>
      </c>
      <c r="L252" s="4">
        <v>1689000</v>
      </c>
      <c r="M252" s="1" t="s">
        <v>20</v>
      </c>
    </row>
    <row r="253" spans="1:13">
      <c r="A253" s="1" t="s">
        <v>446</v>
      </c>
      <c r="B253" s="3">
        <v>45731</v>
      </c>
      <c r="C253" s="1" t="s">
        <v>39</v>
      </c>
      <c r="D253" s="1" t="s">
        <v>15</v>
      </c>
      <c r="E253" s="1" t="s">
        <v>40</v>
      </c>
      <c r="F253" s="1" t="s">
        <v>29</v>
      </c>
      <c r="G253" s="1" t="s">
        <v>49</v>
      </c>
      <c r="H253" s="1" t="s">
        <v>37</v>
      </c>
      <c r="I253" s="1">
        <v>1</v>
      </c>
      <c r="J253" s="4">
        <v>22800000</v>
      </c>
      <c r="K253" s="4">
        <v>19132000</v>
      </c>
      <c r="L253" s="4">
        <v>3668000</v>
      </c>
      <c r="M253" s="1" t="s">
        <v>20</v>
      </c>
    </row>
    <row r="254" spans="1:13">
      <c r="A254" s="1" t="s">
        <v>447</v>
      </c>
      <c r="B254" s="3">
        <v>45934</v>
      </c>
      <c r="C254" s="1" t="s">
        <v>362</v>
      </c>
      <c r="D254" s="1" t="s">
        <v>15</v>
      </c>
      <c r="E254" s="1" t="s">
        <v>44</v>
      </c>
      <c r="F254" s="1" t="s">
        <v>17</v>
      </c>
      <c r="G254" s="1" t="s">
        <v>41</v>
      </c>
      <c r="H254" s="1" t="s">
        <v>34</v>
      </c>
      <c r="I254" s="1">
        <v>1</v>
      </c>
      <c r="J254" s="4">
        <v>28315000</v>
      </c>
      <c r="K254" s="4">
        <v>22289000</v>
      </c>
      <c r="L254" s="4">
        <v>6026000</v>
      </c>
      <c r="M254" s="1" t="s">
        <v>20</v>
      </c>
    </row>
    <row r="255" spans="1:13">
      <c r="A255" s="1" t="s">
        <v>448</v>
      </c>
      <c r="B255" s="3">
        <v>45708</v>
      </c>
      <c r="C255" s="1" t="s">
        <v>46</v>
      </c>
      <c r="D255" s="1" t="s">
        <v>15</v>
      </c>
      <c r="E255" s="1" t="s">
        <v>44</v>
      </c>
      <c r="F255" s="1" t="s">
        <v>17</v>
      </c>
      <c r="G255" s="1" t="s">
        <v>41</v>
      </c>
      <c r="H255" s="1" t="s">
        <v>34</v>
      </c>
      <c r="I255" s="1">
        <v>1</v>
      </c>
      <c r="J255" s="4">
        <v>27559000</v>
      </c>
      <c r="K255" s="4">
        <v>22792000</v>
      </c>
      <c r="L255" s="4">
        <v>4767000</v>
      </c>
      <c r="M255" s="1" t="s">
        <v>20</v>
      </c>
    </row>
    <row r="256" spans="1:13">
      <c r="A256" s="1" t="s">
        <v>449</v>
      </c>
      <c r="B256" s="3">
        <v>45982</v>
      </c>
      <c r="C256" s="1" t="s">
        <v>233</v>
      </c>
      <c r="D256" s="1" t="s">
        <v>15</v>
      </c>
      <c r="E256" s="1" t="s">
        <v>54</v>
      </c>
      <c r="F256" s="1" t="s">
        <v>17</v>
      </c>
      <c r="G256" s="1" t="s">
        <v>24</v>
      </c>
      <c r="H256" s="1" t="s">
        <v>37</v>
      </c>
      <c r="I256" s="1">
        <v>1</v>
      </c>
      <c r="J256" s="4">
        <v>23049000</v>
      </c>
      <c r="K256" s="4">
        <v>24223000</v>
      </c>
      <c r="L256" s="4">
        <v>-1174000</v>
      </c>
      <c r="M256" s="1" t="s">
        <v>20</v>
      </c>
    </row>
    <row r="257" spans="1:13">
      <c r="A257" s="1" t="s">
        <v>450</v>
      </c>
      <c r="B257" s="3">
        <v>45852</v>
      </c>
      <c r="C257" s="1" t="s">
        <v>261</v>
      </c>
      <c r="D257" s="1" t="s">
        <v>15</v>
      </c>
      <c r="E257" s="1" t="s">
        <v>16</v>
      </c>
      <c r="F257" s="1" t="s">
        <v>17</v>
      </c>
      <c r="G257" s="1" t="s">
        <v>30</v>
      </c>
      <c r="H257" s="1" t="s">
        <v>37</v>
      </c>
      <c r="I257" s="1">
        <v>1</v>
      </c>
      <c r="J257" s="4">
        <v>18589000</v>
      </c>
      <c r="K257" s="4">
        <v>13894000</v>
      </c>
      <c r="L257" s="4">
        <v>4695000</v>
      </c>
      <c r="M257" s="1" t="s">
        <v>20</v>
      </c>
    </row>
    <row r="258" spans="1:13">
      <c r="A258" s="1" t="s">
        <v>451</v>
      </c>
      <c r="B258" s="3">
        <v>45857</v>
      </c>
      <c r="C258" s="1" t="s">
        <v>203</v>
      </c>
      <c r="D258" s="1" t="s">
        <v>23</v>
      </c>
      <c r="E258" s="1" t="s">
        <v>44</v>
      </c>
      <c r="F258" s="1" t="s">
        <v>17</v>
      </c>
      <c r="G258" s="1" t="s">
        <v>18</v>
      </c>
      <c r="H258" s="1" t="s">
        <v>31</v>
      </c>
      <c r="I258" s="1">
        <v>1</v>
      </c>
      <c r="J258" s="4">
        <v>25972000</v>
      </c>
      <c r="K258" s="4">
        <v>21495000</v>
      </c>
      <c r="L258" s="4">
        <v>4477000</v>
      </c>
      <c r="M258" s="1" t="s">
        <v>20</v>
      </c>
    </row>
    <row r="259" spans="1:13">
      <c r="A259" s="1" t="s">
        <v>452</v>
      </c>
      <c r="B259" s="3">
        <v>45878</v>
      </c>
      <c r="C259" s="1" t="s">
        <v>453</v>
      </c>
      <c r="D259" s="1" t="s">
        <v>23</v>
      </c>
      <c r="E259" s="1" t="s">
        <v>28</v>
      </c>
      <c r="F259" s="1" t="s">
        <v>29</v>
      </c>
      <c r="G259" s="1" t="s">
        <v>41</v>
      </c>
      <c r="H259" s="1" t="s">
        <v>25</v>
      </c>
      <c r="I259" s="1">
        <v>1</v>
      </c>
      <c r="J259" s="4">
        <v>49058000</v>
      </c>
      <c r="K259" s="4">
        <v>42865000</v>
      </c>
      <c r="L259" s="4">
        <v>6193000</v>
      </c>
      <c r="M259" s="1" t="s">
        <v>20</v>
      </c>
    </row>
    <row r="260" spans="1:13">
      <c r="A260" s="1" t="s">
        <v>454</v>
      </c>
      <c r="B260" s="3">
        <v>45664</v>
      </c>
      <c r="C260" s="1" t="s">
        <v>77</v>
      </c>
      <c r="D260" s="1" t="s">
        <v>23</v>
      </c>
      <c r="E260" s="1" t="s">
        <v>54</v>
      </c>
      <c r="F260" s="1" t="s">
        <v>17</v>
      </c>
      <c r="G260" s="1" t="s">
        <v>24</v>
      </c>
      <c r="H260" s="1" t="s">
        <v>31</v>
      </c>
      <c r="I260" s="1">
        <v>1</v>
      </c>
      <c r="J260" s="4">
        <v>30129000</v>
      </c>
      <c r="K260" s="4">
        <v>24140000</v>
      </c>
      <c r="L260" s="4">
        <v>5989000</v>
      </c>
      <c r="M260" s="1" t="s">
        <v>69</v>
      </c>
    </row>
    <row r="261" spans="1:13">
      <c r="A261" s="1" t="s">
        <v>455</v>
      </c>
      <c r="B261" s="3">
        <v>46008</v>
      </c>
      <c r="C261" s="1" t="s">
        <v>456</v>
      </c>
      <c r="D261" s="1" t="s">
        <v>23</v>
      </c>
      <c r="E261" s="1" t="s">
        <v>44</v>
      </c>
      <c r="F261" s="1" t="s">
        <v>17</v>
      </c>
      <c r="G261" s="1" t="s">
        <v>41</v>
      </c>
      <c r="H261" s="1" t="s">
        <v>25</v>
      </c>
      <c r="I261" s="1">
        <v>1</v>
      </c>
      <c r="J261" s="4">
        <v>26609000</v>
      </c>
      <c r="K261" s="4">
        <v>20848000</v>
      </c>
      <c r="L261" s="4">
        <v>5761000</v>
      </c>
      <c r="M261" s="1" t="s">
        <v>20</v>
      </c>
    </row>
    <row r="262" spans="1:13">
      <c r="A262" s="1" t="s">
        <v>457</v>
      </c>
      <c r="B262" s="3">
        <v>45697</v>
      </c>
      <c r="C262" s="1" t="s">
        <v>392</v>
      </c>
      <c r="D262" s="1" t="s">
        <v>15</v>
      </c>
      <c r="E262" s="1" t="s">
        <v>44</v>
      </c>
      <c r="F262" s="1" t="s">
        <v>17</v>
      </c>
      <c r="G262" s="1" t="s">
        <v>41</v>
      </c>
      <c r="H262" s="1" t="s">
        <v>34</v>
      </c>
      <c r="I262" s="1">
        <v>1</v>
      </c>
      <c r="J262" s="4">
        <v>26618000</v>
      </c>
      <c r="K262" s="4">
        <v>22054000</v>
      </c>
      <c r="L262" s="4">
        <v>4564000</v>
      </c>
      <c r="M262" s="1" t="s">
        <v>20</v>
      </c>
    </row>
    <row r="263" spans="1:13">
      <c r="A263" s="1" t="s">
        <v>458</v>
      </c>
      <c r="B263" s="3">
        <v>45860</v>
      </c>
      <c r="C263" s="1" t="s">
        <v>459</v>
      </c>
      <c r="D263" s="1" t="s">
        <v>15</v>
      </c>
      <c r="E263" s="1" t="s">
        <v>44</v>
      </c>
      <c r="F263" s="1" t="s">
        <v>17</v>
      </c>
      <c r="G263" s="1" t="s">
        <v>24</v>
      </c>
      <c r="H263" s="1" t="s">
        <v>31</v>
      </c>
      <c r="I263" s="1">
        <v>1</v>
      </c>
      <c r="J263" s="4">
        <v>26045000</v>
      </c>
      <c r="K263" s="4">
        <v>21440000</v>
      </c>
      <c r="L263" s="4">
        <v>4605000</v>
      </c>
      <c r="M263" s="1" t="s">
        <v>20</v>
      </c>
    </row>
    <row r="264" spans="1:13">
      <c r="A264" s="1" t="s">
        <v>460</v>
      </c>
      <c r="B264" s="3">
        <v>45811</v>
      </c>
      <c r="C264" s="1" t="s">
        <v>187</v>
      </c>
      <c r="D264" s="1" t="s">
        <v>15</v>
      </c>
      <c r="E264" s="1" t="s">
        <v>44</v>
      </c>
      <c r="F264" s="1" t="s">
        <v>17</v>
      </c>
      <c r="G264" s="1" t="s">
        <v>49</v>
      </c>
      <c r="H264" s="1" t="s">
        <v>19</v>
      </c>
      <c r="I264" s="1">
        <v>1</v>
      </c>
      <c r="J264" s="4">
        <v>18715000</v>
      </c>
      <c r="K264" s="4">
        <v>22813000</v>
      </c>
      <c r="L264" s="4">
        <v>-4098000</v>
      </c>
      <c r="M264" s="1" t="s">
        <v>69</v>
      </c>
    </row>
    <row r="265" spans="1:13">
      <c r="A265" s="1" t="s">
        <v>461</v>
      </c>
      <c r="B265" s="3">
        <v>45782</v>
      </c>
      <c r="C265" s="1" t="s">
        <v>14</v>
      </c>
      <c r="D265" s="1" t="s">
        <v>23</v>
      </c>
      <c r="E265" s="1" t="s">
        <v>44</v>
      </c>
      <c r="F265" s="1" t="s">
        <v>17</v>
      </c>
      <c r="G265" s="1" t="s">
        <v>30</v>
      </c>
      <c r="H265" s="1" t="s">
        <v>37</v>
      </c>
      <c r="I265" s="1">
        <v>1</v>
      </c>
      <c r="J265" s="4">
        <v>26167000</v>
      </c>
      <c r="K265" s="4">
        <v>22742000</v>
      </c>
      <c r="L265" s="4">
        <v>3425000</v>
      </c>
      <c r="M265" s="1" t="s">
        <v>20</v>
      </c>
    </row>
    <row r="266" spans="1:13">
      <c r="A266" s="1" t="s">
        <v>462</v>
      </c>
      <c r="B266" s="3">
        <v>45939</v>
      </c>
      <c r="C266" s="1" t="s">
        <v>36</v>
      </c>
      <c r="D266" s="1" t="s">
        <v>15</v>
      </c>
      <c r="E266" s="1" t="s">
        <v>16</v>
      </c>
      <c r="F266" s="1" t="s">
        <v>17</v>
      </c>
      <c r="G266" s="1" t="s">
        <v>49</v>
      </c>
      <c r="H266" s="1" t="s">
        <v>37</v>
      </c>
      <c r="I266" s="1">
        <v>2</v>
      </c>
      <c r="J266" s="4">
        <v>34821000</v>
      </c>
      <c r="K266" s="4">
        <v>29863000</v>
      </c>
      <c r="L266" s="4">
        <v>4958000</v>
      </c>
      <c r="M266" s="1" t="s">
        <v>20</v>
      </c>
    </row>
    <row r="267" spans="1:13">
      <c r="A267" s="1" t="s">
        <v>463</v>
      </c>
      <c r="B267" s="3">
        <v>45913</v>
      </c>
      <c r="C267" s="1" t="s">
        <v>397</v>
      </c>
      <c r="D267" s="1" t="s">
        <v>23</v>
      </c>
      <c r="E267" s="1" t="s">
        <v>16</v>
      </c>
      <c r="F267" s="1" t="s">
        <v>17</v>
      </c>
      <c r="G267" s="1" t="s">
        <v>24</v>
      </c>
      <c r="H267" s="1" t="s">
        <v>25</v>
      </c>
      <c r="I267" s="1">
        <v>1</v>
      </c>
      <c r="J267" s="4">
        <v>17281000</v>
      </c>
      <c r="K267" s="4">
        <v>14389000</v>
      </c>
      <c r="L267" s="4">
        <v>2892000</v>
      </c>
      <c r="M267" s="1" t="s">
        <v>20</v>
      </c>
    </row>
    <row r="268" spans="1:13">
      <c r="A268" s="1" t="s">
        <v>464</v>
      </c>
      <c r="B268" s="3">
        <v>45956</v>
      </c>
      <c r="C268" s="1" t="s">
        <v>465</v>
      </c>
      <c r="D268" s="1" t="s">
        <v>23</v>
      </c>
      <c r="E268" s="1" t="s">
        <v>44</v>
      </c>
      <c r="F268" s="1" t="s">
        <v>17</v>
      </c>
      <c r="G268" s="1" t="s">
        <v>24</v>
      </c>
      <c r="H268" s="1" t="s">
        <v>19</v>
      </c>
      <c r="I268" s="1">
        <v>2</v>
      </c>
      <c r="J268" s="4">
        <v>54586000</v>
      </c>
      <c r="K268" s="4">
        <v>43790000</v>
      </c>
      <c r="L268" s="4">
        <v>10796000</v>
      </c>
      <c r="M268" s="1" t="s">
        <v>20</v>
      </c>
    </row>
    <row r="269" spans="1:13">
      <c r="A269" s="1" t="s">
        <v>466</v>
      </c>
      <c r="B269" s="3">
        <v>45984</v>
      </c>
      <c r="C269" s="1" t="s">
        <v>467</v>
      </c>
      <c r="D269" s="1" t="s">
        <v>23</v>
      </c>
      <c r="E269" s="1" t="s">
        <v>64</v>
      </c>
      <c r="F269" s="1" t="s">
        <v>29</v>
      </c>
      <c r="G269" s="1" t="s">
        <v>49</v>
      </c>
      <c r="H269" s="1" t="s">
        <v>110</v>
      </c>
      <c r="I269" s="1">
        <v>1</v>
      </c>
      <c r="J269" s="4">
        <v>18516000</v>
      </c>
      <c r="K269" s="4">
        <v>17689000</v>
      </c>
      <c r="L269" s="4">
        <v>827000</v>
      </c>
      <c r="M269" s="1" t="s">
        <v>20</v>
      </c>
    </row>
    <row r="270" spans="1:13">
      <c r="A270" s="1" t="s">
        <v>468</v>
      </c>
      <c r="B270" s="3">
        <v>45878</v>
      </c>
      <c r="C270" s="1" t="s">
        <v>469</v>
      </c>
      <c r="D270" s="1" t="s">
        <v>23</v>
      </c>
      <c r="E270" s="1" t="s">
        <v>16</v>
      </c>
      <c r="F270" s="1" t="s">
        <v>17</v>
      </c>
      <c r="G270" s="1" t="s">
        <v>49</v>
      </c>
      <c r="H270" s="1" t="s">
        <v>110</v>
      </c>
      <c r="I270" s="1">
        <v>1</v>
      </c>
      <c r="J270" s="4">
        <v>18668000</v>
      </c>
      <c r="K270" s="4">
        <v>14584000</v>
      </c>
      <c r="L270" s="4">
        <v>4084000</v>
      </c>
      <c r="M270" s="1" t="s">
        <v>20</v>
      </c>
    </row>
    <row r="271" spans="1:13">
      <c r="A271" s="1" t="s">
        <v>470</v>
      </c>
      <c r="B271" s="3">
        <v>45858</v>
      </c>
      <c r="C271" s="1" t="s">
        <v>471</v>
      </c>
      <c r="D271" s="1" t="s">
        <v>15</v>
      </c>
      <c r="E271" s="1" t="s">
        <v>28</v>
      </c>
      <c r="F271" s="1" t="s">
        <v>29</v>
      </c>
      <c r="G271" s="1" t="s">
        <v>49</v>
      </c>
      <c r="H271" s="1" t="s">
        <v>34</v>
      </c>
      <c r="I271" s="1">
        <v>1</v>
      </c>
      <c r="J271" s="4">
        <v>49899000</v>
      </c>
      <c r="K271" s="4">
        <v>45665000</v>
      </c>
      <c r="L271" s="4">
        <v>4234000</v>
      </c>
      <c r="M271" s="1" t="s">
        <v>20</v>
      </c>
    </row>
    <row r="272" spans="1:13">
      <c r="A272" s="1" t="s">
        <v>472</v>
      </c>
      <c r="B272" s="3">
        <v>45717</v>
      </c>
      <c r="C272" s="1" t="s">
        <v>315</v>
      </c>
      <c r="D272" s="1" t="s">
        <v>15</v>
      </c>
      <c r="E272" s="1" t="s">
        <v>40</v>
      </c>
      <c r="F272" s="1" t="s">
        <v>29</v>
      </c>
      <c r="G272" s="1" t="s">
        <v>49</v>
      </c>
      <c r="H272" s="1" t="s">
        <v>34</v>
      </c>
      <c r="I272" s="1">
        <v>1</v>
      </c>
      <c r="J272" s="4">
        <v>23630000</v>
      </c>
      <c r="K272" s="4">
        <v>20363000</v>
      </c>
      <c r="L272" s="4">
        <v>3267000</v>
      </c>
      <c r="M272" s="1" t="s">
        <v>20</v>
      </c>
    </row>
    <row r="273" spans="1:13">
      <c r="A273" s="1" t="s">
        <v>473</v>
      </c>
      <c r="B273" s="3">
        <v>45882</v>
      </c>
      <c r="C273" s="1" t="s">
        <v>169</v>
      </c>
      <c r="D273" s="1" t="s">
        <v>23</v>
      </c>
      <c r="E273" s="1" t="s">
        <v>40</v>
      </c>
      <c r="F273" s="1" t="s">
        <v>29</v>
      </c>
      <c r="G273" s="1" t="s">
        <v>18</v>
      </c>
      <c r="H273" s="1" t="s">
        <v>37</v>
      </c>
      <c r="I273" s="1">
        <v>1</v>
      </c>
      <c r="J273" s="4">
        <v>22699000</v>
      </c>
      <c r="K273" s="4">
        <v>20217000</v>
      </c>
      <c r="L273" s="4">
        <v>2482000</v>
      </c>
      <c r="M273" s="1" t="s">
        <v>20</v>
      </c>
    </row>
    <row r="274" spans="1:13">
      <c r="A274" s="1" t="s">
        <v>474</v>
      </c>
      <c r="B274" s="3">
        <v>45742</v>
      </c>
      <c r="C274" s="1" t="s">
        <v>167</v>
      </c>
      <c r="D274" s="1" t="s">
        <v>15</v>
      </c>
      <c r="E274" s="1" t="s">
        <v>64</v>
      </c>
      <c r="F274" s="1" t="s">
        <v>29</v>
      </c>
      <c r="G274" s="1" t="s">
        <v>30</v>
      </c>
      <c r="H274" s="1" t="s">
        <v>25</v>
      </c>
      <c r="I274" s="1">
        <v>1</v>
      </c>
      <c r="J274" s="4">
        <v>22258000</v>
      </c>
      <c r="K274" s="4">
        <v>17991000</v>
      </c>
      <c r="L274" s="4">
        <v>4267000</v>
      </c>
      <c r="M274" s="1" t="s">
        <v>20</v>
      </c>
    </row>
    <row r="275" spans="1:13">
      <c r="A275" s="1" t="s">
        <v>475</v>
      </c>
      <c r="B275" s="3">
        <v>45980</v>
      </c>
      <c r="C275" s="1" t="s">
        <v>418</v>
      </c>
      <c r="D275" s="1" t="s">
        <v>15</v>
      </c>
      <c r="E275" s="1" t="s">
        <v>54</v>
      </c>
      <c r="F275" s="1" t="s">
        <v>17</v>
      </c>
      <c r="G275" s="1" t="s">
        <v>49</v>
      </c>
      <c r="H275" s="1" t="s">
        <v>25</v>
      </c>
      <c r="I275" s="1">
        <v>1</v>
      </c>
      <c r="J275" s="4">
        <v>22056000</v>
      </c>
      <c r="K275" s="4">
        <v>23465000</v>
      </c>
      <c r="L275" s="4">
        <v>-1409000</v>
      </c>
      <c r="M275" s="1" t="s">
        <v>20</v>
      </c>
    </row>
    <row r="276" spans="1:13">
      <c r="A276" s="1" t="s">
        <v>476</v>
      </c>
      <c r="B276" s="3">
        <v>45660</v>
      </c>
      <c r="C276" s="1" t="s">
        <v>312</v>
      </c>
      <c r="D276" s="1" t="s">
        <v>23</v>
      </c>
      <c r="E276" s="1" t="s">
        <v>40</v>
      </c>
      <c r="F276" s="1" t="s">
        <v>29</v>
      </c>
      <c r="G276" s="1" t="s">
        <v>24</v>
      </c>
      <c r="H276" s="1" t="s">
        <v>31</v>
      </c>
      <c r="I276" s="1">
        <v>1</v>
      </c>
      <c r="J276" s="4">
        <v>25083000</v>
      </c>
      <c r="K276" s="4">
        <v>18934000</v>
      </c>
      <c r="L276" s="4">
        <v>6149000</v>
      </c>
      <c r="M276" s="1" t="s">
        <v>20</v>
      </c>
    </row>
    <row r="277" spans="1:13">
      <c r="A277" s="1" t="s">
        <v>477</v>
      </c>
      <c r="B277" s="3">
        <v>45845</v>
      </c>
      <c r="C277" s="1" t="s">
        <v>321</v>
      </c>
      <c r="D277" s="1" t="s">
        <v>23</v>
      </c>
      <c r="E277" s="1" t="s">
        <v>44</v>
      </c>
      <c r="F277" s="1" t="s">
        <v>17</v>
      </c>
      <c r="G277" s="1" t="s">
        <v>49</v>
      </c>
      <c r="H277" s="1" t="s">
        <v>19</v>
      </c>
      <c r="I277" s="1">
        <v>1</v>
      </c>
      <c r="J277" s="4">
        <v>27882000</v>
      </c>
      <c r="K277" s="4">
        <v>21860000</v>
      </c>
      <c r="L277" s="4">
        <v>6022000</v>
      </c>
      <c r="M277" s="1" t="s">
        <v>20</v>
      </c>
    </row>
    <row r="278" spans="1:13">
      <c r="A278" s="1" t="s">
        <v>478</v>
      </c>
      <c r="B278" s="3">
        <v>45858</v>
      </c>
      <c r="C278" s="1" t="s">
        <v>125</v>
      </c>
      <c r="D278" s="1" t="s">
        <v>23</v>
      </c>
      <c r="E278" s="1" t="s">
        <v>57</v>
      </c>
      <c r="F278" s="1" t="s">
        <v>29</v>
      </c>
      <c r="G278" s="1" t="s">
        <v>24</v>
      </c>
      <c r="H278" s="1" t="s">
        <v>19</v>
      </c>
      <c r="I278" s="1">
        <v>2</v>
      </c>
      <c r="J278" s="4">
        <v>87742000</v>
      </c>
      <c r="K278" s="4">
        <v>73228000</v>
      </c>
      <c r="L278" s="4">
        <v>14514000</v>
      </c>
      <c r="M278" s="1" t="s">
        <v>20</v>
      </c>
    </row>
    <row r="279" spans="1:13">
      <c r="A279" s="1" t="s">
        <v>479</v>
      </c>
      <c r="B279" s="3">
        <v>45701</v>
      </c>
      <c r="C279" s="1" t="s">
        <v>300</v>
      </c>
      <c r="D279" s="1" t="s">
        <v>23</v>
      </c>
      <c r="E279" s="1" t="s">
        <v>60</v>
      </c>
      <c r="F279" s="1" t="s">
        <v>61</v>
      </c>
      <c r="G279" s="1" t="s">
        <v>49</v>
      </c>
      <c r="H279" s="1" t="s">
        <v>19</v>
      </c>
      <c r="I279" s="1">
        <v>1</v>
      </c>
      <c r="J279" s="4">
        <v>58267000</v>
      </c>
      <c r="K279" s="4">
        <v>49860000</v>
      </c>
      <c r="L279" s="4">
        <v>8407000</v>
      </c>
      <c r="M279" s="1" t="s">
        <v>20</v>
      </c>
    </row>
    <row r="280" spans="1:13">
      <c r="A280" s="1" t="s">
        <v>480</v>
      </c>
      <c r="B280" s="3">
        <v>45728</v>
      </c>
      <c r="C280" s="1" t="s">
        <v>481</v>
      </c>
      <c r="D280" s="1" t="s">
        <v>23</v>
      </c>
      <c r="E280" s="1" t="s">
        <v>57</v>
      </c>
      <c r="F280" s="1" t="s">
        <v>29</v>
      </c>
      <c r="G280" s="1" t="s">
        <v>24</v>
      </c>
      <c r="H280" s="1" t="s">
        <v>31</v>
      </c>
      <c r="I280" s="1">
        <v>1</v>
      </c>
      <c r="J280" s="4">
        <v>43424000</v>
      </c>
      <c r="K280" s="4">
        <v>36988000</v>
      </c>
      <c r="L280" s="4">
        <v>6436000</v>
      </c>
      <c r="M280" s="1" t="s">
        <v>20</v>
      </c>
    </row>
    <row r="281" spans="1:13">
      <c r="A281" s="1" t="s">
        <v>482</v>
      </c>
      <c r="B281" s="3">
        <v>45908</v>
      </c>
      <c r="C281" s="1" t="s">
        <v>85</v>
      </c>
      <c r="D281" s="1" t="s">
        <v>23</v>
      </c>
      <c r="E281" s="1" t="s">
        <v>54</v>
      </c>
      <c r="F281" s="1" t="s">
        <v>17</v>
      </c>
      <c r="G281" s="1" t="s">
        <v>30</v>
      </c>
      <c r="H281" s="1" t="s">
        <v>31</v>
      </c>
      <c r="I281" s="1">
        <v>2</v>
      </c>
      <c r="J281" s="4">
        <v>58170000</v>
      </c>
      <c r="K281" s="4">
        <v>48096000</v>
      </c>
      <c r="L281" s="4">
        <v>10074000</v>
      </c>
      <c r="M281" s="1" t="s">
        <v>69</v>
      </c>
    </row>
    <row r="282" spans="1:13">
      <c r="A282" s="1" t="s">
        <v>483</v>
      </c>
      <c r="B282" s="3">
        <v>45854</v>
      </c>
      <c r="C282" s="1" t="s">
        <v>66</v>
      </c>
      <c r="D282" s="1" t="s">
        <v>23</v>
      </c>
      <c r="E282" s="1" t="s">
        <v>64</v>
      </c>
      <c r="F282" s="1" t="s">
        <v>29</v>
      </c>
      <c r="G282" s="1" t="s">
        <v>30</v>
      </c>
      <c r="H282" s="1" t="s">
        <v>34</v>
      </c>
      <c r="I282" s="1">
        <v>1</v>
      </c>
      <c r="J282" s="4">
        <v>22638000</v>
      </c>
      <c r="K282" s="4">
        <v>18146000</v>
      </c>
      <c r="L282" s="4">
        <v>4492000</v>
      </c>
      <c r="M282" s="1" t="s">
        <v>20</v>
      </c>
    </row>
    <row r="283" spans="1:13">
      <c r="A283" s="1" t="s">
        <v>484</v>
      </c>
      <c r="B283" s="3">
        <v>45947</v>
      </c>
      <c r="C283" s="1" t="s">
        <v>33</v>
      </c>
      <c r="D283" s="1" t="s">
        <v>15</v>
      </c>
      <c r="E283" s="1" t="s">
        <v>16</v>
      </c>
      <c r="F283" s="1" t="s">
        <v>17</v>
      </c>
      <c r="G283" s="1" t="s">
        <v>24</v>
      </c>
      <c r="H283" s="1" t="s">
        <v>37</v>
      </c>
      <c r="I283" s="1">
        <v>1</v>
      </c>
      <c r="J283" s="4">
        <v>17563000</v>
      </c>
      <c r="K283" s="4">
        <v>14555000</v>
      </c>
      <c r="L283" s="4">
        <v>3008000</v>
      </c>
      <c r="M283" s="1" t="s">
        <v>20</v>
      </c>
    </row>
    <row r="284" spans="1:13">
      <c r="A284" s="1" t="s">
        <v>485</v>
      </c>
      <c r="B284" s="3">
        <v>45911</v>
      </c>
      <c r="C284" s="1" t="s">
        <v>210</v>
      </c>
      <c r="D284" s="1" t="s">
        <v>23</v>
      </c>
      <c r="E284" s="1" t="s">
        <v>57</v>
      </c>
      <c r="F284" s="1" t="s">
        <v>29</v>
      </c>
      <c r="G284" s="1" t="s">
        <v>18</v>
      </c>
      <c r="H284" s="1" t="s">
        <v>37</v>
      </c>
      <c r="I284" s="1">
        <v>1</v>
      </c>
      <c r="J284" s="4">
        <v>44753000</v>
      </c>
      <c r="K284" s="4">
        <v>36648000</v>
      </c>
      <c r="L284" s="4">
        <v>8105000</v>
      </c>
      <c r="M284" s="1" t="s">
        <v>20</v>
      </c>
    </row>
    <row r="285" spans="1:13">
      <c r="A285" s="1" t="s">
        <v>486</v>
      </c>
      <c r="B285" s="3">
        <v>45883</v>
      </c>
      <c r="C285" s="1" t="s">
        <v>414</v>
      </c>
      <c r="D285" s="1" t="s">
        <v>15</v>
      </c>
      <c r="E285" s="1" t="s">
        <v>57</v>
      </c>
      <c r="F285" s="1" t="s">
        <v>29</v>
      </c>
      <c r="G285" s="1" t="s">
        <v>49</v>
      </c>
      <c r="H285" s="1" t="s">
        <v>110</v>
      </c>
      <c r="I285" s="1">
        <v>1</v>
      </c>
      <c r="J285" s="4">
        <v>45060000</v>
      </c>
      <c r="K285" s="4">
        <v>36392000</v>
      </c>
      <c r="L285" s="4">
        <v>8668000</v>
      </c>
      <c r="M285" s="1" t="s">
        <v>20</v>
      </c>
    </row>
    <row r="286" spans="1:13">
      <c r="A286" s="1" t="s">
        <v>487</v>
      </c>
      <c r="B286" s="3">
        <v>45836</v>
      </c>
      <c r="C286" s="1" t="s">
        <v>394</v>
      </c>
      <c r="D286" s="1" t="s">
        <v>23</v>
      </c>
      <c r="E286" s="1" t="s">
        <v>64</v>
      </c>
      <c r="F286" s="1" t="s">
        <v>29</v>
      </c>
      <c r="G286" s="1" t="s">
        <v>24</v>
      </c>
      <c r="H286" s="1" t="s">
        <v>37</v>
      </c>
      <c r="I286" s="1">
        <v>2</v>
      </c>
      <c r="J286" s="4">
        <v>30263000</v>
      </c>
      <c r="K286" s="4">
        <v>37742000</v>
      </c>
      <c r="L286" s="4">
        <v>-7479000</v>
      </c>
      <c r="M286" s="1" t="s">
        <v>20</v>
      </c>
    </row>
    <row r="287" spans="1:13">
      <c r="A287" s="1" t="s">
        <v>488</v>
      </c>
      <c r="B287" s="3">
        <v>45837</v>
      </c>
      <c r="C287" s="1" t="s">
        <v>489</v>
      </c>
      <c r="D287" s="1" t="s">
        <v>15</v>
      </c>
      <c r="E287" s="1" t="s">
        <v>64</v>
      </c>
      <c r="F287" s="1" t="s">
        <v>29</v>
      </c>
      <c r="G287" s="1" t="s">
        <v>18</v>
      </c>
      <c r="H287" s="1" t="s">
        <v>19</v>
      </c>
      <c r="I287" s="1">
        <v>1</v>
      </c>
      <c r="J287" s="4">
        <v>16158000</v>
      </c>
      <c r="K287" s="4">
        <v>18821000</v>
      </c>
      <c r="L287" s="4">
        <v>-2663000</v>
      </c>
      <c r="M287" s="1" t="s">
        <v>20</v>
      </c>
    </row>
    <row r="288" spans="1:13">
      <c r="A288" s="1" t="s">
        <v>490</v>
      </c>
      <c r="B288" s="3">
        <v>45837</v>
      </c>
      <c r="C288" s="1" t="s">
        <v>491</v>
      </c>
      <c r="D288" s="1" t="s">
        <v>15</v>
      </c>
      <c r="E288" s="1" t="s">
        <v>57</v>
      </c>
      <c r="F288" s="1" t="s">
        <v>29</v>
      </c>
      <c r="G288" s="1" t="s">
        <v>24</v>
      </c>
      <c r="H288" s="1" t="s">
        <v>37</v>
      </c>
      <c r="I288" s="1">
        <v>1</v>
      </c>
      <c r="J288" s="4">
        <v>33043000</v>
      </c>
      <c r="K288" s="4">
        <v>34764000</v>
      </c>
      <c r="L288" s="4">
        <v>-1721000</v>
      </c>
      <c r="M288" s="1" t="s">
        <v>20</v>
      </c>
    </row>
    <row r="289" spans="1:13">
      <c r="A289" s="1" t="s">
        <v>492</v>
      </c>
      <c r="B289" s="3">
        <v>45706</v>
      </c>
      <c r="C289" s="1" t="s">
        <v>22</v>
      </c>
      <c r="D289" s="1" t="s">
        <v>15</v>
      </c>
      <c r="E289" s="1" t="s">
        <v>16</v>
      </c>
      <c r="F289" s="1" t="s">
        <v>17</v>
      </c>
      <c r="G289" s="1" t="s">
        <v>30</v>
      </c>
      <c r="H289" s="1" t="s">
        <v>31</v>
      </c>
      <c r="I289" s="1">
        <v>1</v>
      </c>
      <c r="J289" s="4">
        <v>17059000</v>
      </c>
      <c r="K289" s="4">
        <v>14177000</v>
      </c>
      <c r="L289" s="4">
        <v>2882000</v>
      </c>
      <c r="M289" s="1" t="s">
        <v>20</v>
      </c>
    </row>
    <row r="290" spans="1:13">
      <c r="A290" s="1" t="s">
        <v>493</v>
      </c>
      <c r="B290" s="3">
        <v>45732</v>
      </c>
      <c r="C290" s="1" t="s">
        <v>494</v>
      </c>
      <c r="D290" s="1" t="s">
        <v>15</v>
      </c>
      <c r="E290" s="1" t="s">
        <v>40</v>
      </c>
      <c r="F290" s="1" t="s">
        <v>29</v>
      </c>
      <c r="G290" s="1" t="s">
        <v>49</v>
      </c>
      <c r="H290" s="1" t="s">
        <v>25</v>
      </c>
      <c r="I290" s="1">
        <v>1</v>
      </c>
      <c r="J290" s="4">
        <v>24670000</v>
      </c>
      <c r="K290" s="4">
        <v>19779000</v>
      </c>
      <c r="L290" s="4">
        <v>4891000</v>
      </c>
      <c r="M290" s="1" t="s">
        <v>20</v>
      </c>
    </row>
    <row r="291" spans="1:13">
      <c r="A291" s="1" t="s">
        <v>495</v>
      </c>
      <c r="B291" s="3">
        <v>45889</v>
      </c>
      <c r="C291" s="1" t="s">
        <v>496</v>
      </c>
      <c r="D291" s="1" t="s">
        <v>15</v>
      </c>
      <c r="E291" s="1" t="s">
        <v>16</v>
      </c>
      <c r="F291" s="1" t="s">
        <v>17</v>
      </c>
      <c r="G291" s="1" t="s">
        <v>41</v>
      </c>
      <c r="H291" s="1" t="s">
        <v>25</v>
      </c>
      <c r="I291" s="1">
        <v>1</v>
      </c>
      <c r="J291" s="4">
        <v>17863000</v>
      </c>
      <c r="K291" s="4">
        <v>14862000</v>
      </c>
      <c r="L291" s="4">
        <v>3001000</v>
      </c>
      <c r="M291" s="1" t="s">
        <v>20</v>
      </c>
    </row>
    <row r="292" spans="1:13">
      <c r="A292" s="1" t="s">
        <v>497</v>
      </c>
      <c r="B292" s="3">
        <v>45907</v>
      </c>
      <c r="C292" s="1" t="s">
        <v>137</v>
      </c>
      <c r="D292" s="1" t="s">
        <v>23</v>
      </c>
      <c r="E292" s="1" t="s">
        <v>44</v>
      </c>
      <c r="F292" s="1" t="s">
        <v>17</v>
      </c>
      <c r="G292" s="1" t="s">
        <v>41</v>
      </c>
      <c r="H292" s="1" t="s">
        <v>34</v>
      </c>
      <c r="I292" s="1">
        <v>1</v>
      </c>
      <c r="J292" s="4">
        <v>27434000</v>
      </c>
      <c r="K292" s="4">
        <v>22303000</v>
      </c>
      <c r="L292" s="4">
        <v>5131000</v>
      </c>
      <c r="M292" s="1" t="s">
        <v>20</v>
      </c>
    </row>
    <row r="293" spans="1:13">
      <c r="A293" s="1" t="s">
        <v>498</v>
      </c>
      <c r="B293" s="3">
        <v>45931</v>
      </c>
      <c r="C293" s="1" t="s">
        <v>83</v>
      </c>
      <c r="D293" s="1" t="s">
        <v>15</v>
      </c>
      <c r="E293" s="1" t="s">
        <v>44</v>
      </c>
      <c r="F293" s="1" t="s">
        <v>17</v>
      </c>
      <c r="G293" s="1" t="s">
        <v>24</v>
      </c>
      <c r="H293" s="1" t="s">
        <v>31</v>
      </c>
      <c r="I293" s="1">
        <v>2</v>
      </c>
      <c r="J293" s="4">
        <v>53229000</v>
      </c>
      <c r="K293" s="4">
        <v>42828000</v>
      </c>
      <c r="L293" s="4">
        <v>10401000</v>
      </c>
      <c r="M293" s="1" t="s">
        <v>20</v>
      </c>
    </row>
    <row r="294" spans="1:13">
      <c r="A294" s="1" t="s">
        <v>499</v>
      </c>
      <c r="B294" s="3">
        <v>45947</v>
      </c>
      <c r="C294" s="1" t="s">
        <v>500</v>
      </c>
      <c r="D294" s="1" t="s">
        <v>15</v>
      </c>
      <c r="E294" s="1" t="s">
        <v>64</v>
      </c>
      <c r="F294" s="1" t="s">
        <v>29</v>
      </c>
      <c r="G294" s="1" t="s">
        <v>49</v>
      </c>
      <c r="H294" s="1" t="s">
        <v>34</v>
      </c>
      <c r="I294" s="1">
        <v>2</v>
      </c>
      <c r="J294" s="4">
        <v>45720000</v>
      </c>
      <c r="K294" s="4">
        <v>34938000</v>
      </c>
      <c r="L294" s="4">
        <v>10782000</v>
      </c>
      <c r="M294" s="1" t="s">
        <v>20</v>
      </c>
    </row>
    <row r="295" spans="1:13">
      <c r="A295" s="1" t="s">
        <v>501</v>
      </c>
      <c r="B295" s="3">
        <v>45721</v>
      </c>
      <c r="C295" s="1" t="s">
        <v>139</v>
      </c>
      <c r="D295" s="1" t="s">
        <v>23</v>
      </c>
      <c r="E295" s="1" t="s">
        <v>64</v>
      </c>
      <c r="F295" s="1" t="s">
        <v>29</v>
      </c>
      <c r="G295" s="1" t="s">
        <v>30</v>
      </c>
      <c r="H295" s="1" t="s">
        <v>37</v>
      </c>
      <c r="I295" s="1">
        <v>1</v>
      </c>
      <c r="J295" s="4">
        <v>23517000</v>
      </c>
      <c r="K295" s="4">
        <v>18168000</v>
      </c>
      <c r="L295" s="4">
        <v>5349000</v>
      </c>
      <c r="M295" s="1" t="s">
        <v>69</v>
      </c>
    </row>
    <row r="296" spans="1:13">
      <c r="A296" s="1" t="s">
        <v>502</v>
      </c>
      <c r="B296" s="3">
        <v>45812</v>
      </c>
      <c r="C296" s="1" t="s">
        <v>231</v>
      </c>
      <c r="D296" s="1" t="s">
        <v>15</v>
      </c>
      <c r="E296" s="1" t="s">
        <v>16</v>
      </c>
      <c r="F296" s="1" t="s">
        <v>17</v>
      </c>
      <c r="G296" s="1" t="s">
        <v>30</v>
      </c>
      <c r="H296" s="1" t="s">
        <v>34</v>
      </c>
      <c r="I296" s="1">
        <v>1</v>
      </c>
      <c r="J296" s="4">
        <v>13285000</v>
      </c>
      <c r="K296" s="4">
        <v>14138000</v>
      </c>
      <c r="L296" s="4">
        <v>-853000</v>
      </c>
      <c r="M296" s="1" t="s">
        <v>20</v>
      </c>
    </row>
    <row r="297" spans="1:13">
      <c r="A297" s="1" t="s">
        <v>503</v>
      </c>
      <c r="B297" s="3">
        <v>45860</v>
      </c>
      <c r="C297" s="1" t="s">
        <v>48</v>
      </c>
      <c r="D297" s="1" t="s">
        <v>15</v>
      </c>
      <c r="E297" s="1" t="s">
        <v>57</v>
      </c>
      <c r="F297" s="1" t="s">
        <v>29</v>
      </c>
      <c r="G297" s="1" t="s">
        <v>49</v>
      </c>
      <c r="H297" s="1" t="s">
        <v>34</v>
      </c>
      <c r="I297" s="1">
        <v>1</v>
      </c>
      <c r="J297" s="4">
        <v>42819000</v>
      </c>
      <c r="K297" s="4">
        <v>34049000</v>
      </c>
      <c r="L297" s="4">
        <v>8770000</v>
      </c>
      <c r="M297" s="1" t="s">
        <v>20</v>
      </c>
    </row>
    <row r="298" spans="1:13">
      <c r="A298" s="1" t="s">
        <v>504</v>
      </c>
      <c r="B298" s="3">
        <v>45725</v>
      </c>
      <c r="C298" s="1" t="s">
        <v>459</v>
      </c>
      <c r="D298" s="1" t="s">
        <v>23</v>
      </c>
      <c r="E298" s="1" t="s">
        <v>57</v>
      </c>
      <c r="F298" s="1" t="s">
        <v>29</v>
      </c>
      <c r="G298" s="1" t="s">
        <v>49</v>
      </c>
      <c r="H298" s="1" t="s">
        <v>37</v>
      </c>
      <c r="I298" s="1">
        <v>1</v>
      </c>
      <c r="J298" s="4">
        <v>40465000</v>
      </c>
      <c r="K298" s="4">
        <v>34945000</v>
      </c>
      <c r="L298" s="4">
        <v>5520000</v>
      </c>
      <c r="M298" s="1" t="s">
        <v>20</v>
      </c>
    </row>
    <row r="299" spans="1:13">
      <c r="A299" s="1" t="s">
        <v>505</v>
      </c>
      <c r="B299" s="3">
        <v>45725</v>
      </c>
      <c r="C299" s="1" t="s">
        <v>125</v>
      </c>
      <c r="D299" s="1" t="s">
        <v>23</v>
      </c>
      <c r="E299" s="1" t="s">
        <v>28</v>
      </c>
      <c r="F299" s="1" t="s">
        <v>29</v>
      </c>
      <c r="G299" s="1" t="s">
        <v>30</v>
      </c>
      <c r="H299" s="1" t="s">
        <v>25</v>
      </c>
      <c r="I299" s="1">
        <v>1</v>
      </c>
      <c r="J299" s="4">
        <v>54328000</v>
      </c>
      <c r="K299" s="4">
        <v>41774000</v>
      </c>
      <c r="L299" s="4">
        <v>12554000</v>
      </c>
      <c r="M299" s="1" t="s">
        <v>20</v>
      </c>
    </row>
    <row r="300" spans="1:13">
      <c r="A300" s="1" t="s">
        <v>506</v>
      </c>
      <c r="B300" s="3">
        <v>45726</v>
      </c>
      <c r="C300" s="1" t="s">
        <v>315</v>
      </c>
      <c r="D300" s="1" t="s">
        <v>15</v>
      </c>
      <c r="E300" s="1" t="s">
        <v>60</v>
      </c>
      <c r="F300" s="1" t="s">
        <v>61</v>
      </c>
      <c r="G300" s="1" t="s">
        <v>30</v>
      </c>
      <c r="H300" s="1" t="s">
        <v>37</v>
      </c>
      <c r="I300" s="1">
        <v>1</v>
      </c>
      <c r="J300" s="4">
        <v>61807000</v>
      </c>
      <c r="K300" s="4">
        <v>51057000</v>
      </c>
      <c r="L300" s="4">
        <v>10750000</v>
      </c>
      <c r="M300" s="1" t="s">
        <v>20</v>
      </c>
    </row>
    <row r="301" spans="1:13">
      <c r="A301" s="1" t="s">
        <v>507</v>
      </c>
      <c r="B301" s="3">
        <v>45735</v>
      </c>
      <c r="C301" s="1" t="s">
        <v>508</v>
      </c>
      <c r="D301" s="1" t="s">
        <v>15</v>
      </c>
      <c r="E301" s="1" t="s">
        <v>64</v>
      </c>
      <c r="F301" s="1" t="s">
        <v>29</v>
      </c>
      <c r="G301" s="1" t="s">
        <v>24</v>
      </c>
      <c r="H301" s="1" t="s">
        <v>37</v>
      </c>
      <c r="I301" s="1">
        <v>1</v>
      </c>
      <c r="J301" s="4">
        <v>21301000</v>
      </c>
      <c r="K301" s="4">
        <v>19026000</v>
      </c>
      <c r="L301" s="4">
        <v>2275000</v>
      </c>
      <c r="M301" s="1" t="s">
        <v>20</v>
      </c>
    </row>
    <row r="302" spans="1:13">
      <c r="A302" s="1" t="s">
        <v>509</v>
      </c>
      <c r="B302" s="3">
        <v>45854</v>
      </c>
      <c r="C302" s="1" t="s">
        <v>453</v>
      </c>
      <c r="D302" s="1" t="s">
        <v>23</v>
      </c>
      <c r="E302" s="1" t="s">
        <v>44</v>
      </c>
      <c r="F302" s="1" t="s">
        <v>17</v>
      </c>
      <c r="G302" s="1" t="s">
        <v>24</v>
      </c>
      <c r="H302" s="1" t="s">
        <v>37</v>
      </c>
      <c r="I302" s="1">
        <v>1</v>
      </c>
      <c r="J302" s="4">
        <v>25764000</v>
      </c>
      <c r="K302" s="4">
        <v>22115000</v>
      </c>
      <c r="L302" s="4">
        <v>3649000</v>
      </c>
      <c r="M302" s="1" t="s">
        <v>20</v>
      </c>
    </row>
    <row r="303" spans="1:13">
      <c r="A303" s="1" t="s">
        <v>510</v>
      </c>
      <c r="B303" s="3">
        <v>45969</v>
      </c>
      <c r="C303" s="1" t="s">
        <v>280</v>
      </c>
      <c r="D303" s="1" t="s">
        <v>15</v>
      </c>
      <c r="E303" s="1" t="s">
        <v>54</v>
      </c>
      <c r="F303" s="1" t="s">
        <v>17</v>
      </c>
      <c r="G303" s="1" t="s">
        <v>24</v>
      </c>
      <c r="H303" s="1" t="s">
        <v>31</v>
      </c>
      <c r="I303" s="1">
        <v>1</v>
      </c>
      <c r="J303" s="4">
        <v>24541000</v>
      </c>
      <c r="K303" s="4">
        <v>24072000</v>
      </c>
      <c r="L303" s="4">
        <v>469000</v>
      </c>
      <c r="M303" s="1" t="s">
        <v>20</v>
      </c>
    </row>
    <row r="304" spans="1:13">
      <c r="A304" s="1" t="s">
        <v>511</v>
      </c>
      <c r="B304" s="3">
        <v>45858</v>
      </c>
      <c r="C304" s="1" t="s">
        <v>512</v>
      </c>
      <c r="D304" s="1" t="s">
        <v>23</v>
      </c>
      <c r="E304" s="1" t="s">
        <v>54</v>
      </c>
      <c r="F304" s="1" t="s">
        <v>17</v>
      </c>
      <c r="G304" s="1" t="s">
        <v>24</v>
      </c>
      <c r="H304" s="1" t="s">
        <v>34</v>
      </c>
      <c r="I304" s="1">
        <v>2</v>
      </c>
      <c r="J304" s="4">
        <v>60654000</v>
      </c>
      <c r="K304" s="4">
        <v>46376000</v>
      </c>
      <c r="L304" s="4">
        <v>14278000</v>
      </c>
      <c r="M304" s="1" t="s">
        <v>20</v>
      </c>
    </row>
    <row r="305" spans="1:13">
      <c r="A305" s="1" t="s">
        <v>513</v>
      </c>
      <c r="B305" s="3">
        <v>45928</v>
      </c>
      <c r="C305" s="1" t="s">
        <v>456</v>
      </c>
      <c r="D305" s="1" t="s">
        <v>23</v>
      </c>
      <c r="E305" s="1" t="s">
        <v>64</v>
      </c>
      <c r="F305" s="1" t="s">
        <v>29</v>
      </c>
      <c r="G305" s="1" t="s">
        <v>41</v>
      </c>
      <c r="H305" s="1" t="s">
        <v>19</v>
      </c>
      <c r="I305" s="1">
        <v>1</v>
      </c>
      <c r="J305" s="4">
        <v>21585000</v>
      </c>
      <c r="K305" s="4">
        <v>18093000</v>
      </c>
      <c r="L305" s="4">
        <v>3492000</v>
      </c>
      <c r="M305" s="1" t="s">
        <v>20</v>
      </c>
    </row>
    <row r="306" spans="1:13">
      <c r="A306" s="1" t="s">
        <v>514</v>
      </c>
      <c r="B306" s="3">
        <v>46007</v>
      </c>
      <c r="C306" s="1" t="s">
        <v>515</v>
      </c>
      <c r="D306" s="1" t="s">
        <v>23</v>
      </c>
      <c r="E306" s="1" t="s">
        <v>16</v>
      </c>
      <c r="F306" s="1" t="s">
        <v>17</v>
      </c>
      <c r="G306" s="1" t="s">
        <v>18</v>
      </c>
      <c r="H306" s="1" t="s">
        <v>34</v>
      </c>
      <c r="I306" s="1">
        <v>3</v>
      </c>
      <c r="J306" s="4">
        <v>51272000</v>
      </c>
      <c r="K306" s="4">
        <v>43880000</v>
      </c>
      <c r="L306" s="4">
        <v>7392000</v>
      </c>
      <c r="M306" s="1" t="s">
        <v>20</v>
      </c>
    </row>
    <row r="307" spans="1:13">
      <c r="A307" s="1" t="s">
        <v>516</v>
      </c>
      <c r="B307" s="3">
        <v>45861</v>
      </c>
      <c r="C307" s="1" t="s">
        <v>241</v>
      </c>
      <c r="D307" s="1" t="s">
        <v>15</v>
      </c>
      <c r="E307" s="1" t="s">
        <v>28</v>
      </c>
      <c r="F307" s="1" t="s">
        <v>29</v>
      </c>
      <c r="G307" s="1" t="s">
        <v>24</v>
      </c>
      <c r="H307" s="1" t="s">
        <v>19</v>
      </c>
      <c r="I307" s="1">
        <v>1</v>
      </c>
      <c r="J307" s="4">
        <v>51688000</v>
      </c>
      <c r="K307" s="4">
        <v>44378000</v>
      </c>
      <c r="L307" s="4">
        <v>7310000</v>
      </c>
      <c r="M307" s="1" t="s">
        <v>20</v>
      </c>
    </row>
    <row r="308" spans="1:13">
      <c r="A308" s="1" t="s">
        <v>517</v>
      </c>
      <c r="B308" s="3">
        <v>45736</v>
      </c>
      <c r="C308" s="1" t="s">
        <v>518</v>
      </c>
      <c r="D308" s="1" t="s">
        <v>23</v>
      </c>
      <c r="E308" s="1" t="s">
        <v>54</v>
      </c>
      <c r="F308" s="1" t="s">
        <v>17</v>
      </c>
      <c r="G308" s="1" t="s">
        <v>24</v>
      </c>
      <c r="H308" s="1" t="s">
        <v>37</v>
      </c>
      <c r="I308" s="1">
        <v>1</v>
      </c>
      <c r="J308" s="4">
        <v>27543000</v>
      </c>
      <c r="K308" s="4">
        <v>23915000</v>
      </c>
      <c r="L308" s="4">
        <v>3628000</v>
      </c>
      <c r="M308" s="1" t="s">
        <v>20</v>
      </c>
    </row>
    <row r="309" spans="1:13">
      <c r="A309" s="1" t="s">
        <v>519</v>
      </c>
      <c r="B309" s="3">
        <v>45990</v>
      </c>
      <c r="C309" s="1" t="s">
        <v>200</v>
      </c>
      <c r="D309" s="1" t="s">
        <v>23</v>
      </c>
      <c r="E309" s="1" t="s">
        <v>60</v>
      </c>
      <c r="F309" s="1" t="s">
        <v>61</v>
      </c>
      <c r="G309" s="1" t="s">
        <v>49</v>
      </c>
      <c r="H309" s="1" t="s">
        <v>34</v>
      </c>
      <c r="I309" s="1">
        <v>1</v>
      </c>
      <c r="J309" s="4">
        <v>51765000</v>
      </c>
      <c r="K309" s="4">
        <v>52250000</v>
      </c>
      <c r="L309" s="4">
        <v>-485000</v>
      </c>
      <c r="M309" s="1" t="s">
        <v>20</v>
      </c>
    </row>
    <row r="310" spans="1:13">
      <c r="A310" s="1" t="s">
        <v>520</v>
      </c>
      <c r="B310" s="3">
        <v>45890</v>
      </c>
      <c r="C310" s="1" t="s">
        <v>143</v>
      </c>
      <c r="D310" s="1" t="s">
        <v>23</v>
      </c>
      <c r="E310" s="1" t="s">
        <v>57</v>
      </c>
      <c r="F310" s="1" t="s">
        <v>29</v>
      </c>
      <c r="G310" s="1" t="s">
        <v>18</v>
      </c>
      <c r="H310" s="1" t="s">
        <v>31</v>
      </c>
      <c r="I310" s="1">
        <v>1</v>
      </c>
      <c r="J310" s="4">
        <v>44099000</v>
      </c>
      <c r="K310" s="4">
        <v>34349000</v>
      </c>
      <c r="L310" s="4">
        <v>9750000</v>
      </c>
      <c r="M310" s="1" t="s">
        <v>20</v>
      </c>
    </row>
    <row r="311" spans="1:13">
      <c r="A311" s="1" t="s">
        <v>521</v>
      </c>
      <c r="B311" s="3">
        <v>45912</v>
      </c>
      <c r="C311" s="1" t="s">
        <v>522</v>
      </c>
      <c r="D311" s="1" t="s">
        <v>23</v>
      </c>
      <c r="E311" s="1" t="s">
        <v>64</v>
      </c>
      <c r="F311" s="1" t="s">
        <v>29</v>
      </c>
      <c r="G311" s="1" t="s">
        <v>41</v>
      </c>
      <c r="H311" s="1" t="s">
        <v>37</v>
      </c>
      <c r="I311" s="1">
        <v>1</v>
      </c>
      <c r="J311" s="4">
        <v>22741000</v>
      </c>
      <c r="K311" s="4">
        <v>17691000</v>
      </c>
      <c r="L311" s="4">
        <v>5050000</v>
      </c>
      <c r="M311" s="1" t="s">
        <v>20</v>
      </c>
    </row>
    <row r="312" spans="1:13">
      <c r="A312" s="1" t="s">
        <v>523</v>
      </c>
      <c r="B312" s="3">
        <v>45718</v>
      </c>
      <c r="C312" s="1" t="s">
        <v>524</v>
      </c>
      <c r="D312" s="1" t="s">
        <v>23</v>
      </c>
      <c r="E312" s="1" t="s">
        <v>40</v>
      </c>
      <c r="F312" s="1" t="s">
        <v>29</v>
      </c>
      <c r="G312" s="1" t="s">
        <v>18</v>
      </c>
      <c r="H312" s="1" t="s">
        <v>25</v>
      </c>
      <c r="I312" s="1">
        <v>1</v>
      </c>
      <c r="J312" s="4">
        <v>23409000</v>
      </c>
      <c r="K312" s="4">
        <v>18936000</v>
      </c>
      <c r="L312" s="4">
        <v>4473000</v>
      </c>
      <c r="M312" s="1" t="s">
        <v>20</v>
      </c>
    </row>
    <row r="313" spans="1:13">
      <c r="A313" s="1" t="s">
        <v>525</v>
      </c>
      <c r="B313" s="3">
        <v>45891</v>
      </c>
      <c r="C313" s="1" t="s">
        <v>163</v>
      </c>
      <c r="D313" s="1" t="s">
        <v>23</v>
      </c>
      <c r="E313" s="1" t="s">
        <v>28</v>
      </c>
      <c r="F313" s="1" t="s">
        <v>29</v>
      </c>
      <c r="G313" s="1" t="s">
        <v>24</v>
      </c>
      <c r="H313" s="1" t="s">
        <v>37</v>
      </c>
      <c r="I313" s="1">
        <v>2</v>
      </c>
      <c r="J313" s="4">
        <v>100016000</v>
      </c>
      <c r="K313" s="4">
        <v>84019000</v>
      </c>
      <c r="L313" s="4">
        <v>15997000</v>
      </c>
      <c r="M313" s="1" t="s">
        <v>20</v>
      </c>
    </row>
    <row r="314" spans="1:13">
      <c r="A314" s="1" t="s">
        <v>526</v>
      </c>
      <c r="B314" s="3">
        <v>45717</v>
      </c>
      <c r="C314" s="1" t="s">
        <v>527</v>
      </c>
      <c r="D314" s="1" t="s">
        <v>23</v>
      </c>
      <c r="E314" s="1" t="s">
        <v>54</v>
      </c>
      <c r="F314" s="1" t="s">
        <v>17</v>
      </c>
      <c r="G314" s="1" t="s">
        <v>30</v>
      </c>
      <c r="H314" s="1" t="s">
        <v>31</v>
      </c>
      <c r="I314" s="1">
        <v>1</v>
      </c>
      <c r="J314" s="4">
        <v>29987000</v>
      </c>
      <c r="K314" s="4">
        <v>22607000</v>
      </c>
      <c r="L314" s="4">
        <v>7380000</v>
      </c>
      <c r="M314" s="1" t="s">
        <v>20</v>
      </c>
    </row>
    <row r="315" spans="1:13">
      <c r="A315" s="1" t="s">
        <v>528</v>
      </c>
      <c r="B315" s="3">
        <v>45676</v>
      </c>
      <c r="C315" s="1" t="s">
        <v>410</v>
      </c>
      <c r="D315" s="1" t="s">
        <v>15</v>
      </c>
      <c r="E315" s="1" t="s">
        <v>57</v>
      </c>
      <c r="F315" s="1" t="s">
        <v>29</v>
      </c>
      <c r="G315" s="1" t="s">
        <v>41</v>
      </c>
      <c r="H315" s="1" t="s">
        <v>110</v>
      </c>
      <c r="I315" s="1">
        <v>1</v>
      </c>
      <c r="J315" s="4">
        <v>42764000</v>
      </c>
      <c r="K315" s="4">
        <v>34867000</v>
      </c>
      <c r="L315" s="4">
        <v>7897000</v>
      </c>
      <c r="M315" s="1" t="s">
        <v>20</v>
      </c>
    </row>
    <row r="316" spans="1:13">
      <c r="A316" s="1" t="s">
        <v>529</v>
      </c>
      <c r="B316" s="3">
        <v>45697</v>
      </c>
      <c r="C316" s="1" t="s">
        <v>259</v>
      </c>
      <c r="D316" s="1" t="s">
        <v>23</v>
      </c>
      <c r="E316" s="1" t="s">
        <v>57</v>
      </c>
      <c r="F316" s="1" t="s">
        <v>29</v>
      </c>
      <c r="G316" s="1" t="s">
        <v>49</v>
      </c>
      <c r="H316" s="1" t="s">
        <v>34</v>
      </c>
      <c r="I316" s="1">
        <v>1</v>
      </c>
      <c r="J316" s="4">
        <v>40714000</v>
      </c>
      <c r="K316" s="4">
        <v>34517000</v>
      </c>
      <c r="L316" s="4">
        <v>6197000</v>
      </c>
      <c r="M316" s="1" t="s">
        <v>20</v>
      </c>
    </row>
    <row r="317" spans="1:13">
      <c r="A317" s="1" t="s">
        <v>530</v>
      </c>
      <c r="B317" s="3">
        <v>45896</v>
      </c>
      <c r="C317" s="1" t="s">
        <v>187</v>
      </c>
      <c r="D317" s="1" t="s">
        <v>15</v>
      </c>
      <c r="E317" s="1" t="s">
        <v>64</v>
      </c>
      <c r="F317" s="1" t="s">
        <v>29</v>
      </c>
      <c r="G317" s="1" t="s">
        <v>24</v>
      </c>
      <c r="H317" s="1" t="s">
        <v>110</v>
      </c>
      <c r="I317" s="1">
        <v>1</v>
      </c>
      <c r="J317" s="4">
        <v>20927000</v>
      </c>
      <c r="K317" s="4">
        <v>18221000</v>
      </c>
      <c r="L317" s="4">
        <v>2706000</v>
      </c>
      <c r="M317" s="1" t="s">
        <v>20</v>
      </c>
    </row>
    <row r="318" spans="1:13">
      <c r="A318" s="1" t="s">
        <v>531</v>
      </c>
      <c r="B318" s="3">
        <v>45976</v>
      </c>
      <c r="C318" s="1" t="s">
        <v>14</v>
      </c>
      <c r="D318" s="1" t="s">
        <v>23</v>
      </c>
      <c r="E318" s="1" t="s">
        <v>54</v>
      </c>
      <c r="F318" s="1" t="s">
        <v>17</v>
      </c>
      <c r="G318" s="1" t="s">
        <v>30</v>
      </c>
      <c r="H318" s="1" t="s">
        <v>31</v>
      </c>
      <c r="I318" s="1">
        <v>3</v>
      </c>
      <c r="J318" s="4">
        <v>74998000</v>
      </c>
      <c r="K318" s="4">
        <v>71520000</v>
      </c>
      <c r="L318" s="4">
        <v>3478000</v>
      </c>
      <c r="M318" s="1" t="s">
        <v>20</v>
      </c>
    </row>
    <row r="319" spans="1:13">
      <c r="A319" s="1" t="s">
        <v>532</v>
      </c>
      <c r="B319" s="3">
        <v>45661</v>
      </c>
      <c r="C319" s="1" t="s">
        <v>105</v>
      </c>
      <c r="D319" s="1" t="s">
        <v>23</v>
      </c>
      <c r="E319" s="1" t="s">
        <v>64</v>
      </c>
      <c r="F319" s="1" t="s">
        <v>29</v>
      </c>
      <c r="G319" s="1" t="s">
        <v>18</v>
      </c>
      <c r="H319" s="1" t="s">
        <v>37</v>
      </c>
      <c r="I319" s="1">
        <v>1</v>
      </c>
      <c r="J319" s="4">
        <v>22499000</v>
      </c>
      <c r="K319" s="4">
        <v>18654000</v>
      </c>
      <c r="L319" s="4">
        <v>3845000</v>
      </c>
      <c r="M319" s="1" t="s">
        <v>20</v>
      </c>
    </row>
    <row r="320" spans="1:13">
      <c r="A320" s="1" t="s">
        <v>533</v>
      </c>
      <c r="B320" s="3">
        <v>45850</v>
      </c>
      <c r="C320" s="1" t="s">
        <v>89</v>
      </c>
      <c r="D320" s="1" t="s">
        <v>15</v>
      </c>
      <c r="E320" s="1" t="s">
        <v>40</v>
      </c>
      <c r="F320" s="1" t="s">
        <v>29</v>
      </c>
      <c r="G320" s="1" t="s">
        <v>30</v>
      </c>
      <c r="H320" s="1" t="s">
        <v>37</v>
      </c>
      <c r="I320" s="1">
        <v>1</v>
      </c>
      <c r="J320" s="4">
        <v>24213000</v>
      </c>
      <c r="K320" s="4">
        <v>19282000</v>
      </c>
      <c r="L320" s="4">
        <v>4931000</v>
      </c>
      <c r="M320" s="1" t="s">
        <v>20</v>
      </c>
    </row>
    <row r="321" spans="1:13">
      <c r="A321" s="1" t="s">
        <v>534</v>
      </c>
      <c r="B321" s="3">
        <v>45801</v>
      </c>
      <c r="C321" s="1" t="s">
        <v>362</v>
      </c>
      <c r="D321" s="1" t="s">
        <v>15</v>
      </c>
      <c r="E321" s="1" t="s">
        <v>16</v>
      </c>
      <c r="F321" s="1" t="s">
        <v>17</v>
      </c>
      <c r="G321" s="1" t="s">
        <v>18</v>
      </c>
      <c r="H321" s="1" t="s">
        <v>19</v>
      </c>
      <c r="I321" s="1">
        <v>2</v>
      </c>
      <c r="J321" s="4">
        <v>36272000</v>
      </c>
      <c r="K321" s="4">
        <v>29582000</v>
      </c>
      <c r="L321" s="4">
        <v>6690000</v>
      </c>
      <c r="M321" s="1" t="s">
        <v>20</v>
      </c>
    </row>
    <row r="322" spans="1:13">
      <c r="A322" s="1" t="s">
        <v>535</v>
      </c>
      <c r="B322" s="3">
        <v>45706</v>
      </c>
      <c r="C322" s="1" t="s">
        <v>203</v>
      </c>
      <c r="D322" s="1" t="s">
        <v>15</v>
      </c>
      <c r="E322" s="1" t="s">
        <v>28</v>
      </c>
      <c r="F322" s="1" t="s">
        <v>29</v>
      </c>
      <c r="G322" s="1" t="s">
        <v>30</v>
      </c>
      <c r="H322" s="1" t="s">
        <v>110</v>
      </c>
      <c r="I322" s="1">
        <v>1</v>
      </c>
      <c r="J322" s="4">
        <v>52881000</v>
      </c>
      <c r="K322" s="4">
        <v>41596000</v>
      </c>
      <c r="L322" s="4">
        <v>11285000</v>
      </c>
      <c r="M322" s="1" t="s">
        <v>20</v>
      </c>
    </row>
    <row r="323" spans="1:13">
      <c r="A323" s="1" t="s">
        <v>536</v>
      </c>
      <c r="B323" s="3">
        <v>45791</v>
      </c>
      <c r="C323" s="1" t="s">
        <v>243</v>
      </c>
      <c r="D323" s="1" t="s">
        <v>15</v>
      </c>
      <c r="E323" s="1" t="s">
        <v>64</v>
      </c>
      <c r="F323" s="1" t="s">
        <v>29</v>
      </c>
      <c r="G323" s="1" t="s">
        <v>18</v>
      </c>
      <c r="H323" s="1" t="s">
        <v>31</v>
      </c>
      <c r="I323" s="1">
        <v>1</v>
      </c>
      <c r="J323" s="4">
        <v>23059000</v>
      </c>
      <c r="K323" s="4">
        <v>17982000</v>
      </c>
      <c r="L323" s="4">
        <v>5077000</v>
      </c>
      <c r="M323" s="1" t="s">
        <v>20</v>
      </c>
    </row>
    <row r="324" spans="1:13">
      <c r="A324" s="1" t="s">
        <v>537</v>
      </c>
      <c r="B324" s="3">
        <v>45727</v>
      </c>
      <c r="C324" s="1" t="s">
        <v>241</v>
      </c>
      <c r="D324" s="1" t="s">
        <v>15</v>
      </c>
      <c r="E324" s="1" t="s">
        <v>40</v>
      </c>
      <c r="F324" s="1" t="s">
        <v>29</v>
      </c>
      <c r="G324" s="1" t="s">
        <v>41</v>
      </c>
      <c r="H324" s="1" t="s">
        <v>31</v>
      </c>
      <c r="I324" s="1">
        <v>1</v>
      </c>
      <c r="J324" s="4">
        <v>23073000</v>
      </c>
      <c r="K324" s="4">
        <v>19733000</v>
      </c>
      <c r="L324" s="4">
        <v>3340000</v>
      </c>
      <c r="M324" s="1" t="s">
        <v>20</v>
      </c>
    </row>
    <row r="325" spans="1:13">
      <c r="A325" s="1" t="s">
        <v>538</v>
      </c>
      <c r="B325" s="3">
        <v>45889</v>
      </c>
      <c r="C325" s="1" t="s">
        <v>328</v>
      </c>
      <c r="D325" s="1" t="s">
        <v>23</v>
      </c>
      <c r="E325" s="1" t="s">
        <v>54</v>
      </c>
      <c r="F325" s="1" t="s">
        <v>17</v>
      </c>
      <c r="G325" s="1" t="s">
        <v>24</v>
      </c>
      <c r="H325" s="1" t="s">
        <v>34</v>
      </c>
      <c r="I325" s="1">
        <v>1</v>
      </c>
      <c r="J325" s="4">
        <v>27374000</v>
      </c>
      <c r="K325" s="4">
        <v>23632000</v>
      </c>
      <c r="L325" s="4">
        <v>3742000</v>
      </c>
      <c r="M325" s="1" t="s">
        <v>20</v>
      </c>
    </row>
    <row r="326" spans="1:13">
      <c r="A326" s="1" t="s">
        <v>539</v>
      </c>
      <c r="B326" s="3">
        <v>45768</v>
      </c>
      <c r="C326" s="1" t="s">
        <v>127</v>
      </c>
      <c r="D326" s="1" t="s">
        <v>23</v>
      </c>
      <c r="E326" s="1" t="s">
        <v>40</v>
      </c>
      <c r="F326" s="1" t="s">
        <v>29</v>
      </c>
      <c r="G326" s="1" t="s">
        <v>41</v>
      </c>
      <c r="H326" s="1" t="s">
        <v>110</v>
      </c>
      <c r="I326" s="1">
        <v>1</v>
      </c>
      <c r="J326" s="4">
        <v>23334000</v>
      </c>
      <c r="K326" s="4">
        <v>19514000</v>
      </c>
      <c r="L326" s="4">
        <v>3820000</v>
      </c>
      <c r="M326" s="1" t="s">
        <v>20</v>
      </c>
    </row>
    <row r="327" spans="1:13">
      <c r="A327" s="1" t="s">
        <v>540</v>
      </c>
      <c r="B327" s="3">
        <v>45747</v>
      </c>
      <c r="C327" s="1" t="s">
        <v>541</v>
      </c>
      <c r="D327" s="1" t="s">
        <v>23</v>
      </c>
      <c r="E327" s="1" t="s">
        <v>16</v>
      </c>
      <c r="F327" s="1" t="s">
        <v>17</v>
      </c>
      <c r="G327" s="1" t="s">
        <v>30</v>
      </c>
      <c r="H327" s="1" t="s">
        <v>34</v>
      </c>
      <c r="I327" s="1">
        <v>1</v>
      </c>
      <c r="J327" s="4">
        <v>18671000</v>
      </c>
      <c r="K327" s="4">
        <v>14137000</v>
      </c>
      <c r="L327" s="4">
        <v>4534000</v>
      </c>
      <c r="M327" s="1" t="s">
        <v>20</v>
      </c>
    </row>
    <row r="328" spans="1:13">
      <c r="A328" s="1" t="s">
        <v>542</v>
      </c>
      <c r="B328" s="3">
        <v>45664</v>
      </c>
      <c r="C328" s="1" t="s">
        <v>400</v>
      </c>
      <c r="D328" s="1" t="s">
        <v>15</v>
      </c>
      <c r="E328" s="1" t="s">
        <v>16</v>
      </c>
      <c r="F328" s="1" t="s">
        <v>17</v>
      </c>
      <c r="G328" s="1" t="s">
        <v>18</v>
      </c>
      <c r="H328" s="1" t="s">
        <v>19</v>
      </c>
      <c r="I328" s="1">
        <v>1</v>
      </c>
      <c r="J328" s="4">
        <v>17384000</v>
      </c>
      <c r="K328" s="4">
        <v>14356000</v>
      </c>
      <c r="L328" s="4">
        <v>3028000</v>
      </c>
      <c r="M328" s="1" t="s">
        <v>20</v>
      </c>
    </row>
    <row r="329" spans="1:13">
      <c r="A329" s="1" t="s">
        <v>543</v>
      </c>
      <c r="B329" s="3">
        <v>45958</v>
      </c>
      <c r="C329" s="1" t="s">
        <v>252</v>
      </c>
      <c r="D329" s="1" t="s">
        <v>15</v>
      </c>
      <c r="E329" s="1" t="s">
        <v>54</v>
      </c>
      <c r="F329" s="1" t="s">
        <v>17</v>
      </c>
      <c r="G329" s="1" t="s">
        <v>18</v>
      </c>
      <c r="H329" s="1" t="s">
        <v>110</v>
      </c>
      <c r="I329" s="1">
        <v>1</v>
      </c>
      <c r="J329" s="4">
        <v>27029000</v>
      </c>
      <c r="K329" s="4">
        <v>24134000</v>
      </c>
      <c r="L329" s="4">
        <v>2895000</v>
      </c>
      <c r="M329" s="1" t="s">
        <v>20</v>
      </c>
    </row>
    <row r="330" spans="1:13">
      <c r="A330" s="1" t="s">
        <v>544</v>
      </c>
      <c r="B330" s="3">
        <v>45720</v>
      </c>
      <c r="C330" s="1" t="s">
        <v>147</v>
      </c>
      <c r="D330" s="1" t="s">
        <v>23</v>
      </c>
      <c r="E330" s="1" t="s">
        <v>16</v>
      </c>
      <c r="F330" s="1" t="s">
        <v>17</v>
      </c>
      <c r="G330" s="1" t="s">
        <v>49</v>
      </c>
      <c r="H330" s="1" t="s">
        <v>37</v>
      </c>
      <c r="I330" s="1">
        <v>1</v>
      </c>
      <c r="J330" s="4">
        <v>18263000</v>
      </c>
      <c r="K330" s="4">
        <v>14966000</v>
      </c>
      <c r="L330" s="4">
        <v>3297000</v>
      </c>
      <c r="M330" s="1" t="s">
        <v>20</v>
      </c>
    </row>
    <row r="331" spans="1:13">
      <c r="A331" s="1" t="s">
        <v>545</v>
      </c>
      <c r="B331" s="3">
        <v>45876</v>
      </c>
      <c r="C331" s="1" t="s">
        <v>93</v>
      </c>
      <c r="D331" s="1" t="s">
        <v>23</v>
      </c>
      <c r="E331" s="1" t="s">
        <v>16</v>
      </c>
      <c r="F331" s="1" t="s">
        <v>17</v>
      </c>
      <c r="G331" s="1" t="s">
        <v>24</v>
      </c>
      <c r="H331" s="1" t="s">
        <v>31</v>
      </c>
      <c r="I331" s="1">
        <v>1</v>
      </c>
      <c r="J331" s="4">
        <v>17575000</v>
      </c>
      <c r="K331" s="4">
        <v>15056000</v>
      </c>
      <c r="L331" s="4">
        <v>2519000</v>
      </c>
      <c r="M331" s="1" t="s">
        <v>20</v>
      </c>
    </row>
    <row r="332" spans="1:13">
      <c r="A332" s="1" t="s">
        <v>546</v>
      </c>
      <c r="B332" s="3">
        <v>45989</v>
      </c>
      <c r="C332" s="1" t="s">
        <v>330</v>
      </c>
      <c r="D332" s="1" t="s">
        <v>23</v>
      </c>
      <c r="E332" s="1" t="s">
        <v>54</v>
      </c>
      <c r="F332" s="1" t="s">
        <v>17</v>
      </c>
      <c r="G332" s="1" t="s">
        <v>24</v>
      </c>
      <c r="H332" s="1" t="s">
        <v>31</v>
      </c>
      <c r="I332" s="1">
        <v>1</v>
      </c>
      <c r="J332" s="4">
        <v>22153000</v>
      </c>
      <c r="K332" s="4">
        <v>22689000</v>
      </c>
      <c r="L332" s="4">
        <v>-536000</v>
      </c>
      <c r="M332" s="1" t="s">
        <v>20</v>
      </c>
    </row>
    <row r="333" spans="1:13">
      <c r="A333" s="1" t="s">
        <v>547</v>
      </c>
      <c r="B333" s="3">
        <v>45980</v>
      </c>
      <c r="C333" s="1" t="s">
        <v>309</v>
      </c>
      <c r="D333" s="1" t="s">
        <v>23</v>
      </c>
      <c r="E333" s="1" t="s">
        <v>64</v>
      </c>
      <c r="F333" s="1" t="s">
        <v>29</v>
      </c>
      <c r="G333" s="1" t="s">
        <v>49</v>
      </c>
      <c r="H333" s="1" t="s">
        <v>110</v>
      </c>
      <c r="I333" s="1">
        <v>1</v>
      </c>
      <c r="J333" s="4">
        <v>17855000</v>
      </c>
      <c r="K333" s="4">
        <v>18690000</v>
      </c>
      <c r="L333" s="4">
        <v>-835000</v>
      </c>
      <c r="M333" s="1" t="s">
        <v>20</v>
      </c>
    </row>
    <row r="334" spans="1:13">
      <c r="A334" s="1" t="s">
        <v>548</v>
      </c>
      <c r="B334" s="3">
        <v>45947</v>
      </c>
      <c r="C334" s="1" t="s">
        <v>522</v>
      </c>
      <c r="D334" s="1" t="s">
        <v>23</v>
      </c>
      <c r="E334" s="1" t="s">
        <v>28</v>
      </c>
      <c r="F334" s="1" t="s">
        <v>29</v>
      </c>
      <c r="G334" s="1" t="s">
        <v>41</v>
      </c>
      <c r="H334" s="1" t="s">
        <v>34</v>
      </c>
      <c r="I334" s="1">
        <v>1</v>
      </c>
      <c r="J334" s="4">
        <v>51036000</v>
      </c>
      <c r="K334" s="4">
        <v>42278000</v>
      </c>
      <c r="L334" s="4">
        <v>8758000</v>
      </c>
      <c r="M334" s="1" t="s">
        <v>20</v>
      </c>
    </row>
    <row r="335" spans="1:13">
      <c r="A335" s="1" t="s">
        <v>549</v>
      </c>
      <c r="B335" s="3">
        <v>45899</v>
      </c>
      <c r="C335" s="1" t="s">
        <v>494</v>
      </c>
      <c r="D335" s="1" t="s">
        <v>15</v>
      </c>
      <c r="E335" s="1" t="s">
        <v>57</v>
      </c>
      <c r="F335" s="1" t="s">
        <v>29</v>
      </c>
      <c r="G335" s="1" t="s">
        <v>24</v>
      </c>
      <c r="H335" s="1" t="s">
        <v>37</v>
      </c>
      <c r="I335" s="1">
        <v>3</v>
      </c>
      <c r="J335" s="4">
        <v>137594000</v>
      </c>
      <c r="K335" s="4">
        <v>102241000</v>
      </c>
      <c r="L335" s="4">
        <v>35353000</v>
      </c>
      <c r="M335" s="1" t="s">
        <v>20</v>
      </c>
    </row>
    <row r="336" spans="1:13">
      <c r="A336" s="1" t="s">
        <v>550</v>
      </c>
      <c r="B336" s="3">
        <v>45686</v>
      </c>
      <c r="C336" s="1" t="s">
        <v>227</v>
      </c>
      <c r="D336" s="1" t="s">
        <v>15</v>
      </c>
      <c r="E336" s="1" t="s">
        <v>40</v>
      </c>
      <c r="F336" s="1" t="s">
        <v>29</v>
      </c>
      <c r="G336" s="1" t="s">
        <v>30</v>
      </c>
      <c r="H336" s="1" t="s">
        <v>31</v>
      </c>
      <c r="I336" s="1">
        <v>1</v>
      </c>
      <c r="J336" s="4">
        <v>25626000</v>
      </c>
      <c r="K336" s="4">
        <v>19579000</v>
      </c>
      <c r="L336" s="4">
        <v>6047000</v>
      </c>
      <c r="M336" s="1" t="s">
        <v>20</v>
      </c>
    </row>
    <row r="337" spans="1:13">
      <c r="A337" s="1" t="s">
        <v>551</v>
      </c>
      <c r="B337" s="3">
        <v>45779</v>
      </c>
      <c r="C337" s="1" t="s">
        <v>338</v>
      </c>
      <c r="D337" s="1" t="s">
        <v>15</v>
      </c>
      <c r="E337" s="1" t="s">
        <v>57</v>
      </c>
      <c r="F337" s="1" t="s">
        <v>29</v>
      </c>
      <c r="G337" s="1" t="s">
        <v>24</v>
      </c>
      <c r="H337" s="1" t="s">
        <v>19</v>
      </c>
      <c r="I337" s="1">
        <v>1</v>
      </c>
      <c r="J337" s="4">
        <v>45529000</v>
      </c>
      <c r="K337" s="4">
        <v>33825000</v>
      </c>
      <c r="L337" s="4">
        <v>11704000</v>
      </c>
      <c r="M337" s="1" t="s">
        <v>20</v>
      </c>
    </row>
    <row r="338" spans="1:13">
      <c r="A338" s="1" t="s">
        <v>552</v>
      </c>
      <c r="B338" s="3">
        <v>45730</v>
      </c>
      <c r="C338" s="1" t="s">
        <v>66</v>
      </c>
      <c r="D338" s="1" t="s">
        <v>23</v>
      </c>
      <c r="E338" s="1" t="s">
        <v>57</v>
      </c>
      <c r="F338" s="1" t="s">
        <v>29</v>
      </c>
      <c r="G338" s="1" t="s">
        <v>18</v>
      </c>
      <c r="H338" s="1" t="s">
        <v>34</v>
      </c>
      <c r="I338" s="1">
        <v>3</v>
      </c>
      <c r="J338" s="4">
        <v>136045000</v>
      </c>
      <c r="K338" s="4">
        <v>106417000</v>
      </c>
      <c r="L338" s="4">
        <v>29628000</v>
      </c>
      <c r="M338" s="1" t="s">
        <v>20</v>
      </c>
    </row>
    <row r="339" spans="1:13">
      <c r="A339" s="1" t="s">
        <v>553</v>
      </c>
      <c r="B339" s="3">
        <v>45686</v>
      </c>
      <c r="C339" s="1" t="s">
        <v>203</v>
      </c>
      <c r="D339" s="1" t="s">
        <v>23</v>
      </c>
      <c r="E339" s="1" t="s">
        <v>54</v>
      </c>
      <c r="F339" s="1" t="s">
        <v>17</v>
      </c>
      <c r="G339" s="1" t="s">
        <v>41</v>
      </c>
      <c r="H339" s="1" t="s">
        <v>37</v>
      </c>
      <c r="I339" s="1">
        <v>1</v>
      </c>
      <c r="J339" s="4">
        <v>26793000</v>
      </c>
      <c r="K339" s="4">
        <v>24170000</v>
      </c>
      <c r="L339" s="4">
        <v>2623000</v>
      </c>
      <c r="M339" s="1" t="s">
        <v>20</v>
      </c>
    </row>
    <row r="340" spans="1:13">
      <c r="A340" s="1" t="s">
        <v>554</v>
      </c>
      <c r="B340" s="3">
        <v>45748</v>
      </c>
      <c r="C340" s="1" t="s">
        <v>46</v>
      </c>
      <c r="D340" s="1" t="s">
        <v>15</v>
      </c>
      <c r="E340" s="1" t="s">
        <v>64</v>
      </c>
      <c r="F340" s="1" t="s">
        <v>29</v>
      </c>
      <c r="G340" s="1" t="s">
        <v>18</v>
      </c>
      <c r="H340" s="1" t="s">
        <v>19</v>
      </c>
      <c r="I340" s="1">
        <v>1</v>
      </c>
      <c r="J340" s="4">
        <v>20743000</v>
      </c>
      <c r="K340" s="4">
        <v>18458000</v>
      </c>
      <c r="L340" s="4">
        <v>2285000</v>
      </c>
      <c r="M340" s="1" t="s">
        <v>20</v>
      </c>
    </row>
    <row r="341" spans="1:13">
      <c r="A341" s="1" t="s">
        <v>555</v>
      </c>
      <c r="B341" s="3">
        <v>45844</v>
      </c>
      <c r="C341" s="1" t="s">
        <v>392</v>
      </c>
      <c r="D341" s="1" t="s">
        <v>23</v>
      </c>
      <c r="E341" s="1" t="s">
        <v>64</v>
      </c>
      <c r="F341" s="1" t="s">
        <v>29</v>
      </c>
      <c r="G341" s="1" t="s">
        <v>30</v>
      </c>
      <c r="H341" s="1" t="s">
        <v>37</v>
      </c>
      <c r="I341" s="1">
        <v>2</v>
      </c>
      <c r="J341" s="4">
        <v>43623000</v>
      </c>
      <c r="K341" s="4">
        <v>35140000</v>
      </c>
      <c r="L341" s="4">
        <v>8483000</v>
      </c>
      <c r="M341" s="1" t="s">
        <v>20</v>
      </c>
    </row>
    <row r="342" spans="1:13">
      <c r="A342" s="1" t="s">
        <v>556</v>
      </c>
      <c r="B342" s="3">
        <v>45881</v>
      </c>
      <c r="C342" s="1" t="s">
        <v>557</v>
      </c>
      <c r="D342" s="1" t="s">
        <v>15</v>
      </c>
      <c r="E342" s="1" t="s">
        <v>40</v>
      </c>
      <c r="F342" s="1" t="s">
        <v>29</v>
      </c>
      <c r="G342" s="1" t="s">
        <v>24</v>
      </c>
      <c r="H342" s="1" t="s">
        <v>110</v>
      </c>
      <c r="I342" s="1">
        <v>1</v>
      </c>
      <c r="J342" s="4">
        <v>23104000</v>
      </c>
      <c r="K342" s="4">
        <v>20728000</v>
      </c>
      <c r="L342" s="4">
        <v>2376000</v>
      </c>
      <c r="M342" s="1" t="s">
        <v>20</v>
      </c>
    </row>
    <row r="343" spans="1:13">
      <c r="A343" s="1" t="s">
        <v>558</v>
      </c>
      <c r="B343" s="3">
        <v>45772</v>
      </c>
      <c r="C343" s="1" t="s">
        <v>559</v>
      </c>
      <c r="D343" s="1" t="s">
        <v>15</v>
      </c>
      <c r="E343" s="1" t="s">
        <v>60</v>
      </c>
      <c r="F343" s="1" t="s">
        <v>61</v>
      </c>
      <c r="G343" s="1" t="s">
        <v>24</v>
      </c>
      <c r="H343" s="1" t="s">
        <v>25</v>
      </c>
      <c r="I343" s="1">
        <v>1</v>
      </c>
      <c r="J343" s="4">
        <v>63161000</v>
      </c>
      <c r="K343" s="4">
        <v>49462000</v>
      </c>
      <c r="L343" s="4">
        <v>13699000</v>
      </c>
      <c r="M343" s="1" t="s">
        <v>20</v>
      </c>
    </row>
    <row r="344" spans="1:13">
      <c r="A344" s="1" t="s">
        <v>560</v>
      </c>
      <c r="B344" s="3">
        <v>45948</v>
      </c>
      <c r="C344" s="1" t="s">
        <v>427</v>
      </c>
      <c r="D344" s="1" t="s">
        <v>23</v>
      </c>
      <c r="E344" s="1" t="s">
        <v>16</v>
      </c>
      <c r="F344" s="1" t="s">
        <v>17</v>
      </c>
      <c r="G344" s="1" t="s">
        <v>49</v>
      </c>
      <c r="H344" s="1" t="s">
        <v>31</v>
      </c>
      <c r="I344" s="1">
        <v>2</v>
      </c>
      <c r="J344" s="4">
        <v>38368000</v>
      </c>
      <c r="K344" s="4">
        <v>28191000</v>
      </c>
      <c r="L344" s="4">
        <v>10177000</v>
      </c>
      <c r="M344" s="1" t="s">
        <v>20</v>
      </c>
    </row>
    <row r="345" spans="1:13">
      <c r="A345" s="1" t="s">
        <v>561</v>
      </c>
      <c r="B345" s="3">
        <v>45827</v>
      </c>
      <c r="C345" s="1" t="s">
        <v>562</v>
      </c>
      <c r="D345" s="1" t="s">
        <v>23</v>
      </c>
      <c r="E345" s="1" t="s">
        <v>40</v>
      </c>
      <c r="F345" s="1" t="s">
        <v>29</v>
      </c>
      <c r="G345" s="1" t="s">
        <v>41</v>
      </c>
      <c r="H345" s="1" t="s">
        <v>25</v>
      </c>
      <c r="I345" s="1">
        <v>3</v>
      </c>
      <c r="J345" s="4">
        <v>49861000</v>
      </c>
      <c r="K345" s="4">
        <v>61689000</v>
      </c>
      <c r="L345" s="4">
        <v>-11828000</v>
      </c>
      <c r="M345" s="1" t="s">
        <v>20</v>
      </c>
    </row>
    <row r="346" spans="1:13">
      <c r="A346" s="1" t="s">
        <v>563</v>
      </c>
      <c r="B346" s="3">
        <v>45663</v>
      </c>
      <c r="C346" s="1" t="s">
        <v>527</v>
      </c>
      <c r="D346" s="1" t="s">
        <v>23</v>
      </c>
      <c r="E346" s="1" t="s">
        <v>54</v>
      </c>
      <c r="F346" s="1" t="s">
        <v>17</v>
      </c>
      <c r="G346" s="1" t="s">
        <v>49</v>
      </c>
      <c r="H346" s="1" t="s">
        <v>37</v>
      </c>
      <c r="I346" s="1">
        <v>1</v>
      </c>
      <c r="J346" s="4">
        <v>27741000</v>
      </c>
      <c r="K346" s="4">
        <v>22291000</v>
      </c>
      <c r="L346" s="4">
        <v>5450000</v>
      </c>
      <c r="M346" s="1" t="s">
        <v>20</v>
      </c>
    </row>
    <row r="347" spans="1:13">
      <c r="A347" s="1" t="s">
        <v>564</v>
      </c>
      <c r="B347" s="3">
        <v>45872</v>
      </c>
      <c r="C347" s="1" t="s">
        <v>181</v>
      </c>
      <c r="D347" s="1" t="s">
        <v>15</v>
      </c>
      <c r="E347" s="1" t="s">
        <v>64</v>
      </c>
      <c r="F347" s="1" t="s">
        <v>29</v>
      </c>
      <c r="G347" s="1" t="s">
        <v>24</v>
      </c>
      <c r="H347" s="1" t="s">
        <v>37</v>
      </c>
      <c r="I347" s="1">
        <v>1</v>
      </c>
      <c r="J347" s="4">
        <v>21763000</v>
      </c>
      <c r="K347" s="4">
        <v>18384000</v>
      </c>
      <c r="L347" s="4">
        <v>3379000</v>
      </c>
      <c r="M347" s="1" t="s">
        <v>20</v>
      </c>
    </row>
    <row r="348" spans="1:13">
      <c r="A348" s="1" t="s">
        <v>565</v>
      </c>
      <c r="B348" s="3">
        <v>46009</v>
      </c>
      <c r="C348" s="1" t="s">
        <v>566</v>
      </c>
      <c r="D348" s="1" t="s">
        <v>23</v>
      </c>
      <c r="E348" s="1" t="s">
        <v>54</v>
      </c>
      <c r="F348" s="1" t="s">
        <v>17</v>
      </c>
      <c r="G348" s="1" t="s">
        <v>18</v>
      </c>
      <c r="H348" s="1" t="s">
        <v>110</v>
      </c>
      <c r="I348" s="1">
        <v>1</v>
      </c>
      <c r="J348" s="4">
        <v>26914000</v>
      </c>
      <c r="K348" s="4">
        <v>22087000</v>
      </c>
      <c r="L348" s="4">
        <v>4827000</v>
      </c>
      <c r="M348" s="1" t="s">
        <v>20</v>
      </c>
    </row>
    <row r="349" spans="1:13">
      <c r="A349" s="1" t="s">
        <v>567</v>
      </c>
      <c r="B349" s="3">
        <v>45745</v>
      </c>
      <c r="C349" s="1" t="s">
        <v>318</v>
      </c>
      <c r="D349" s="1" t="s">
        <v>23</v>
      </c>
      <c r="E349" s="1" t="s">
        <v>64</v>
      </c>
      <c r="F349" s="1" t="s">
        <v>29</v>
      </c>
      <c r="G349" s="1" t="s">
        <v>49</v>
      </c>
      <c r="H349" s="1" t="s">
        <v>37</v>
      </c>
      <c r="I349" s="1">
        <v>1</v>
      </c>
      <c r="J349" s="4">
        <v>23374000</v>
      </c>
      <c r="K349" s="4">
        <v>19175000</v>
      </c>
      <c r="L349" s="4">
        <v>4199000</v>
      </c>
      <c r="M349" s="1" t="s">
        <v>20</v>
      </c>
    </row>
    <row r="350" spans="1:13">
      <c r="A350" s="1" t="s">
        <v>568</v>
      </c>
      <c r="B350" s="3">
        <v>45673</v>
      </c>
      <c r="C350" s="1" t="s">
        <v>362</v>
      </c>
      <c r="D350" s="1" t="s">
        <v>15</v>
      </c>
      <c r="E350" s="1" t="s">
        <v>44</v>
      </c>
      <c r="F350" s="1" t="s">
        <v>17</v>
      </c>
      <c r="G350" s="1" t="s">
        <v>30</v>
      </c>
      <c r="H350" s="1" t="s">
        <v>25</v>
      </c>
      <c r="I350" s="1">
        <v>1</v>
      </c>
      <c r="J350" s="4">
        <v>26406000</v>
      </c>
      <c r="K350" s="4">
        <v>20827000</v>
      </c>
      <c r="L350" s="4">
        <v>5579000</v>
      </c>
      <c r="M350" s="1" t="s">
        <v>20</v>
      </c>
    </row>
    <row r="351" spans="1:13">
      <c r="A351" s="1" t="s">
        <v>569</v>
      </c>
      <c r="B351" s="3">
        <v>46014</v>
      </c>
      <c r="C351" s="1" t="s">
        <v>518</v>
      </c>
      <c r="D351" s="1" t="s">
        <v>15</v>
      </c>
      <c r="E351" s="1" t="s">
        <v>57</v>
      </c>
      <c r="F351" s="1" t="s">
        <v>29</v>
      </c>
      <c r="G351" s="1" t="s">
        <v>24</v>
      </c>
      <c r="H351" s="1" t="s">
        <v>19</v>
      </c>
      <c r="I351" s="1">
        <v>1</v>
      </c>
      <c r="J351" s="4">
        <v>44113000</v>
      </c>
      <c r="K351" s="4">
        <v>34781000</v>
      </c>
      <c r="L351" s="4">
        <v>9332000</v>
      </c>
      <c r="M351" s="1" t="s">
        <v>20</v>
      </c>
    </row>
    <row r="352" spans="1:13">
      <c r="A352" s="1" t="s">
        <v>570</v>
      </c>
      <c r="B352" s="3">
        <v>45909</v>
      </c>
      <c r="C352" s="1" t="s">
        <v>330</v>
      </c>
      <c r="D352" s="1" t="s">
        <v>23</v>
      </c>
      <c r="E352" s="1" t="s">
        <v>16</v>
      </c>
      <c r="F352" s="1" t="s">
        <v>17</v>
      </c>
      <c r="G352" s="1" t="s">
        <v>18</v>
      </c>
      <c r="H352" s="1" t="s">
        <v>34</v>
      </c>
      <c r="I352" s="1">
        <v>1</v>
      </c>
      <c r="J352" s="4">
        <v>17609000</v>
      </c>
      <c r="K352" s="4">
        <v>14735000</v>
      </c>
      <c r="L352" s="4">
        <v>2874000</v>
      </c>
      <c r="M352" s="1" t="s">
        <v>20</v>
      </c>
    </row>
    <row r="353" spans="1:13">
      <c r="A353" s="1" t="s">
        <v>571</v>
      </c>
      <c r="B353" s="3">
        <v>45763</v>
      </c>
      <c r="C353" s="1" t="s">
        <v>66</v>
      </c>
      <c r="D353" s="1" t="s">
        <v>23</v>
      </c>
      <c r="E353" s="1" t="s">
        <v>16</v>
      </c>
      <c r="F353" s="1" t="s">
        <v>17</v>
      </c>
      <c r="G353" s="1" t="s">
        <v>41</v>
      </c>
      <c r="H353" s="1" t="s">
        <v>34</v>
      </c>
      <c r="I353" s="1">
        <v>1</v>
      </c>
      <c r="J353" s="4">
        <v>18894000</v>
      </c>
      <c r="K353" s="4">
        <v>14222000</v>
      </c>
      <c r="L353" s="4">
        <v>4672000</v>
      </c>
      <c r="M353" s="1" t="s">
        <v>20</v>
      </c>
    </row>
    <row r="354" spans="1:13">
      <c r="A354" s="1" t="s">
        <v>572</v>
      </c>
      <c r="B354" s="3">
        <v>45986</v>
      </c>
      <c r="C354" s="1" t="s">
        <v>79</v>
      </c>
      <c r="D354" s="1" t="s">
        <v>23</v>
      </c>
      <c r="E354" s="1" t="s">
        <v>57</v>
      </c>
      <c r="F354" s="1" t="s">
        <v>29</v>
      </c>
      <c r="G354" s="1" t="s">
        <v>41</v>
      </c>
      <c r="H354" s="1" t="s">
        <v>31</v>
      </c>
      <c r="I354" s="1">
        <v>2</v>
      </c>
      <c r="J354" s="4">
        <v>69675000</v>
      </c>
      <c r="K354" s="4">
        <v>70615000</v>
      </c>
      <c r="L354" s="4">
        <v>-940000</v>
      </c>
      <c r="M354" s="1" t="s">
        <v>20</v>
      </c>
    </row>
    <row r="355" spans="1:13">
      <c r="A355" s="1" t="s">
        <v>573</v>
      </c>
      <c r="B355" s="3">
        <v>45795</v>
      </c>
      <c r="C355" s="1" t="s">
        <v>349</v>
      </c>
      <c r="D355" s="1" t="s">
        <v>23</v>
      </c>
      <c r="E355" s="1" t="s">
        <v>57</v>
      </c>
      <c r="F355" s="1" t="s">
        <v>29</v>
      </c>
      <c r="G355" s="1" t="s">
        <v>24</v>
      </c>
      <c r="H355" s="1" t="s">
        <v>31</v>
      </c>
      <c r="I355" s="1">
        <v>1</v>
      </c>
      <c r="J355" s="4">
        <v>40961000</v>
      </c>
      <c r="K355" s="4">
        <v>36097000</v>
      </c>
      <c r="L355" s="4">
        <v>4864000</v>
      </c>
      <c r="M355" s="1" t="s">
        <v>20</v>
      </c>
    </row>
    <row r="356" spans="1:13">
      <c r="A356" s="1" t="s">
        <v>574</v>
      </c>
      <c r="B356" s="3">
        <v>45941</v>
      </c>
      <c r="C356" s="1" t="s">
        <v>77</v>
      </c>
      <c r="D356" s="1" t="s">
        <v>23</v>
      </c>
      <c r="E356" s="1" t="s">
        <v>16</v>
      </c>
      <c r="F356" s="1" t="s">
        <v>17</v>
      </c>
      <c r="G356" s="1" t="s">
        <v>30</v>
      </c>
      <c r="H356" s="1" t="s">
        <v>25</v>
      </c>
      <c r="I356" s="1">
        <v>1</v>
      </c>
      <c r="J356" s="4">
        <v>19180000</v>
      </c>
      <c r="K356" s="4">
        <v>14771000</v>
      </c>
      <c r="L356" s="4">
        <v>4409000</v>
      </c>
      <c r="M356" s="1" t="s">
        <v>20</v>
      </c>
    </row>
    <row r="357" spans="1:13">
      <c r="A357" s="1" t="s">
        <v>575</v>
      </c>
      <c r="B357" s="3">
        <v>45811</v>
      </c>
      <c r="C357" s="1" t="s">
        <v>127</v>
      </c>
      <c r="D357" s="1" t="s">
        <v>15</v>
      </c>
      <c r="E357" s="1" t="s">
        <v>16</v>
      </c>
      <c r="F357" s="1" t="s">
        <v>17</v>
      </c>
      <c r="G357" s="1" t="s">
        <v>24</v>
      </c>
      <c r="H357" s="1" t="s">
        <v>31</v>
      </c>
      <c r="I357" s="1">
        <v>1</v>
      </c>
      <c r="J357" s="4">
        <v>13028000</v>
      </c>
      <c r="K357" s="4">
        <v>15081000</v>
      </c>
      <c r="L357" s="4">
        <v>-2053000</v>
      </c>
      <c r="M357" s="1" t="s">
        <v>20</v>
      </c>
    </row>
    <row r="358" spans="1:13">
      <c r="A358" s="1" t="s">
        <v>576</v>
      </c>
      <c r="B358" s="3">
        <v>45719</v>
      </c>
      <c r="C358" s="1" t="s">
        <v>577</v>
      </c>
      <c r="D358" s="1" t="s">
        <v>23</v>
      </c>
      <c r="E358" s="1" t="s">
        <v>64</v>
      </c>
      <c r="F358" s="1" t="s">
        <v>29</v>
      </c>
      <c r="G358" s="1" t="s">
        <v>49</v>
      </c>
      <c r="H358" s="1" t="s">
        <v>34</v>
      </c>
      <c r="I358" s="1">
        <v>2</v>
      </c>
      <c r="J358" s="4">
        <v>42316000</v>
      </c>
      <c r="K358" s="4">
        <v>35546000</v>
      </c>
      <c r="L358" s="4">
        <v>6770000</v>
      </c>
      <c r="M358" s="1" t="s">
        <v>20</v>
      </c>
    </row>
    <row r="359" spans="1:13">
      <c r="A359" s="1" t="s">
        <v>578</v>
      </c>
      <c r="B359" s="3">
        <v>46007</v>
      </c>
      <c r="C359" s="1" t="s">
        <v>579</v>
      </c>
      <c r="D359" s="1" t="s">
        <v>15</v>
      </c>
      <c r="E359" s="1" t="s">
        <v>44</v>
      </c>
      <c r="F359" s="1" t="s">
        <v>17</v>
      </c>
      <c r="G359" s="1" t="s">
        <v>18</v>
      </c>
      <c r="H359" s="1" t="s">
        <v>34</v>
      </c>
      <c r="I359" s="1">
        <v>1</v>
      </c>
      <c r="J359" s="4">
        <v>27784000</v>
      </c>
      <c r="K359" s="4">
        <v>21272000</v>
      </c>
      <c r="L359" s="4">
        <v>6512000</v>
      </c>
      <c r="M359" s="1" t="s">
        <v>20</v>
      </c>
    </row>
    <row r="360" spans="1:13">
      <c r="A360" s="1" t="s">
        <v>580</v>
      </c>
      <c r="B360" s="3">
        <v>45856</v>
      </c>
      <c r="C360" s="1" t="s">
        <v>22</v>
      </c>
      <c r="D360" s="1" t="s">
        <v>15</v>
      </c>
      <c r="E360" s="1" t="s">
        <v>57</v>
      </c>
      <c r="F360" s="1" t="s">
        <v>29</v>
      </c>
      <c r="G360" s="1" t="s">
        <v>24</v>
      </c>
      <c r="H360" s="1" t="s">
        <v>19</v>
      </c>
      <c r="I360" s="1">
        <v>2</v>
      </c>
      <c r="J360" s="4">
        <v>86650000</v>
      </c>
      <c r="K360" s="4">
        <v>73962000</v>
      </c>
      <c r="L360" s="4">
        <v>12688000</v>
      </c>
      <c r="M360" s="1" t="s">
        <v>20</v>
      </c>
    </row>
    <row r="361" spans="1:13">
      <c r="A361" s="1" t="s">
        <v>581</v>
      </c>
      <c r="B361" s="3">
        <v>45925</v>
      </c>
      <c r="C361" s="1" t="s">
        <v>97</v>
      </c>
      <c r="D361" s="1" t="s">
        <v>23</v>
      </c>
      <c r="E361" s="1" t="s">
        <v>40</v>
      </c>
      <c r="F361" s="1" t="s">
        <v>29</v>
      </c>
      <c r="G361" s="1" t="s">
        <v>18</v>
      </c>
      <c r="H361" s="1" t="s">
        <v>19</v>
      </c>
      <c r="I361" s="1">
        <v>1</v>
      </c>
      <c r="J361" s="4">
        <v>24328000</v>
      </c>
      <c r="K361" s="4">
        <v>19964000</v>
      </c>
      <c r="L361" s="4">
        <v>4364000</v>
      </c>
      <c r="M361" s="1" t="s">
        <v>69</v>
      </c>
    </row>
    <row r="362" spans="1:13">
      <c r="A362" s="1" t="s">
        <v>582</v>
      </c>
      <c r="B362" s="3">
        <v>45709</v>
      </c>
      <c r="C362" s="1" t="s">
        <v>77</v>
      </c>
      <c r="D362" s="1" t="s">
        <v>15</v>
      </c>
      <c r="E362" s="1" t="s">
        <v>40</v>
      </c>
      <c r="F362" s="1" t="s">
        <v>29</v>
      </c>
      <c r="G362" s="1" t="s">
        <v>24</v>
      </c>
      <c r="H362" s="1" t="s">
        <v>25</v>
      </c>
      <c r="I362" s="1">
        <v>2</v>
      </c>
      <c r="J362" s="4">
        <v>50598000</v>
      </c>
      <c r="K362" s="4">
        <v>38666000</v>
      </c>
      <c r="L362" s="4">
        <v>11932000</v>
      </c>
      <c r="M362" s="1" t="s">
        <v>20</v>
      </c>
    </row>
    <row r="363" spans="1:13">
      <c r="A363" s="1" t="s">
        <v>583</v>
      </c>
      <c r="B363" s="3">
        <v>45677</v>
      </c>
      <c r="C363" s="1" t="s">
        <v>389</v>
      </c>
      <c r="D363" s="1" t="s">
        <v>23</v>
      </c>
      <c r="E363" s="1" t="s">
        <v>16</v>
      </c>
      <c r="F363" s="1" t="s">
        <v>17</v>
      </c>
      <c r="G363" s="1" t="s">
        <v>41</v>
      </c>
      <c r="H363" s="1" t="s">
        <v>37</v>
      </c>
      <c r="I363" s="1">
        <v>1</v>
      </c>
      <c r="J363" s="4">
        <v>18513000</v>
      </c>
      <c r="K363" s="4">
        <v>14357000</v>
      </c>
      <c r="L363" s="4">
        <v>4156000</v>
      </c>
      <c r="M363" s="1" t="s">
        <v>20</v>
      </c>
    </row>
    <row r="364" spans="1:13">
      <c r="A364" s="1" t="s">
        <v>584</v>
      </c>
      <c r="B364" s="3">
        <v>45779</v>
      </c>
      <c r="C364" s="1" t="s">
        <v>295</v>
      </c>
      <c r="D364" s="1" t="s">
        <v>23</v>
      </c>
      <c r="E364" s="1" t="s">
        <v>16</v>
      </c>
      <c r="F364" s="1" t="s">
        <v>17</v>
      </c>
      <c r="G364" s="1" t="s">
        <v>41</v>
      </c>
      <c r="H364" s="1" t="s">
        <v>25</v>
      </c>
      <c r="I364" s="1">
        <v>1</v>
      </c>
      <c r="J364" s="4">
        <v>17792000</v>
      </c>
      <c r="K364" s="4">
        <v>14265000</v>
      </c>
      <c r="L364" s="4">
        <v>3527000</v>
      </c>
      <c r="M364" s="1" t="s">
        <v>20</v>
      </c>
    </row>
    <row r="365" spans="1:13">
      <c r="A365" s="1" t="s">
        <v>585</v>
      </c>
      <c r="B365" s="3">
        <v>46014</v>
      </c>
      <c r="C365" s="1" t="s">
        <v>198</v>
      </c>
      <c r="D365" s="1" t="s">
        <v>15</v>
      </c>
      <c r="E365" s="1" t="s">
        <v>60</v>
      </c>
      <c r="F365" s="1" t="s">
        <v>61</v>
      </c>
      <c r="G365" s="1" t="s">
        <v>41</v>
      </c>
      <c r="H365" s="1" t="s">
        <v>37</v>
      </c>
      <c r="I365" s="1">
        <v>1</v>
      </c>
      <c r="J365" s="4">
        <v>59723000</v>
      </c>
      <c r="K365" s="4">
        <v>51731000</v>
      </c>
      <c r="L365" s="4">
        <v>7992000</v>
      </c>
      <c r="M365" s="1" t="s">
        <v>20</v>
      </c>
    </row>
    <row r="366" spans="1:13">
      <c r="A366" s="1" t="s">
        <v>586</v>
      </c>
      <c r="B366" s="3">
        <v>45871</v>
      </c>
      <c r="C366" s="1" t="s">
        <v>587</v>
      </c>
      <c r="D366" s="1" t="s">
        <v>23</v>
      </c>
      <c r="E366" s="1" t="s">
        <v>57</v>
      </c>
      <c r="F366" s="1" t="s">
        <v>29</v>
      </c>
      <c r="G366" s="1" t="s">
        <v>41</v>
      </c>
      <c r="H366" s="1" t="s">
        <v>34</v>
      </c>
      <c r="I366" s="1">
        <v>1</v>
      </c>
      <c r="J366" s="4">
        <v>45526000</v>
      </c>
      <c r="K366" s="4">
        <v>35170000</v>
      </c>
      <c r="L366" s="4">
        <v>10356000</v>
      </c>
      <c r="M366" s="1" t="s">
        <v>20</v>
      </c>
    </row>
    <row r="367" spans="1:13">
      <c r="A367" s="1" t="s">
        <v>588</v>
      </c>
      <c r="B367" s="3">
        <v>45921</v>
      </c>
      <c r="C367" s="1" t="s">
        <v>278</v>
      </c>
      <c r="D367" s="1" t="s">
        <v>23</v>
      </c>
      <c r="E367" s="1" t="s">
        <v>40</v>
      </c>
      <c r="F367" s="1" t="s">
        <v>29</v>
      </c>
      <c r="G367" s="1" t="s">
        <v>18</v>
      </c>
      <c r="H367" s="1" t="s">
        <v>31</v>
      </c>
      <c r="I367" s="1">
        <v>1</v>
      </c>
      <c r="J367" s="4">
        <v>23819000</v>
      </c>
      <c r="K367" s="4">
        <v>20355000</v>
      </c>
      <c r="L367" s="4">
        <v>3464000</v>
      </c>
      <c r="M367" s="1" t="s">
        <v>20</v>
      </c>
    </row>
    <row r="368" spans="1:13">
      <c r="A368" s="1" t="s">
        <v>589</v>
      </c>
      <c r="B368" s="3">
        <v>45756</v>
      </c>
      <c r="C368" s="1" t="s">
        <v>132</v>
      </c>
      <c r="D368" s="1" t="s">
        <v>23</v>
      </c>
      <c r="E368" s="1" t="s">
        <v>64</v>
      </c>
      <c r="F368" s="1" t="s">
        <v>29</v>
      </c>
      <c r="G368" s="1" t="s">
        <v>41</v>
      </c>
      <c r="H368" s="1" t="s">
        <v>110</v>
      </c>
      <c r="I368" s="1">
        <v>1</v>
      </c>
      <c r="J368" s="4">
        <v>20775000</v>
      </c>
      <c r="K368" s="4">
        <v>17478000</v>
      </c>
      <c r="L368" s="4">
        <v>3297000</v>
      </c>
      <c r="M368" s="1" t="s">
        <v>20</v>
      </c>
    </row>
    <row r="369" spans="1:13">
      <c r="A369" s="1" t="s">
        <v>590</v>
      </c>
      <c r="B369" s="3">
        <v>45895</v>
      </c>
      <c r="C369" s="1" t="s">
        <v>177</v>
      </c>
      <c r="D369" s="1" t="s">
        <v>15</v>
      </c>
      <c r="E369" s="1" t="s">
        <v>28</v>
      </c>
      <c r="F369" s="1" t="s">
        <v>29</v>
      </c>
      <c r="G369" s="1" t="s">
        <v>49</v>
      </c>
      <c r="H369" s="1" t="s">
        <v>19</v>
      </c>
      <c r="I369" s="1">
        <v>1</v>
      </c>
      <c r="J369" s="4">
        <v>49087000</v>
      </c>
      <c r="K369" s="4">
        <v>42945000</v>
      </c>
      <c r="L369" s="4">
        <v>6142000</v>
      </c>
      <c r="M369" s="1" t="s">
        <v>20</v>
      </c>
    </row>
    <row r="370" spans="1:13">
      <c r="A370" s="1" t="s">
        <v>591</v>
      </c>
      <c r="B370" s="3">
        <v>45940</v>
      </c>
      <c r="C370" s="1" t="s">
        <v>527</v>
      </c>
      <c r="D370" s="1" t="s">
        <v>23</v>
      </c>
      <c r="E370" s="1" t="s">
        <v>44</v>
      </c>
      <c r="F370" s="1" t="s">
        <v>17</v>
      </c>
      <c r="G370" s="1" t="s">
        <v>18</v>
      </c>
      <c r="H370" s="1" t="s">
        <v>31</v>
      </c>
      <c r="I370" s="1">
        <v>2</v>
      </c>
      <c r="J370" s="4">
        <v>54980000</v>
      </c>
      <c r="K370" s="4">
        <v>44423000</v>
      </c>
      <c r="L370" s="4">
        <v>10557000</v>
      </c>
      <c r="M370" s="1" t="s">
        <v>20</v>
      </c>
    </row>
    <row r="371" spans="1:13">
      <c r="A371" s="1" t="s">
        <v>592</v>
      </c>
      <c r="B371" s="3">
        <v>45950</v>
      </c>
      <c r="C371" s="1" t="s">
        <v>593</v>
      </c>
      <c r="D371" s="1" t="s">
        <v>23</v>
      </c>
      <c r="E371" s="1" t="s">
        <v>40</v>
      </c>
      <c r="F371" s="1" t="s">
        <v>29</v>
      </c>
      <c r="G371" s="1" t="s">
        <v>18</v>
      </c>
      <c r="H371" s="1" t="s">
        <v>37</v>
      </c>
      <c r="I371" s="1">
        <v>1</v>
      </c>
      <c r="J371" s="4">
        <v>23262000</v>
      </c>
      <c r="K371" s="4">
        <v>19219000</v>
      </c>
      <c r="L371" s="4">
        <v>4043000</v>
      </c>
      <c r="M371" s="1" t="s">
        <v>20</v>
      </c>
    </row>
    <row r="372" spans="1:13">
      <c r="A372" s="1" t="s">
        <v>594</v>
      </c>
      <c r="B372" s="3">
        <v>45662</v>
      </c>
      <c r="C372" s="1" t="s">
        <v>56</v>
      </c>
      <c r="D372" s="1" t="s">
        <v>23</v>
      </c>
      <c r="E372" s="1" t="s">
        <v>28</v>
      </c>
      <c r="F372" s="1" t="s">
        <v>29</v>
      </c>
      <c r="G372" s="1" t="s">
        <v>41</v>
      </c>
      <c r="H372" s="1" t="s">
        <v>37</v>
      </c>
      <c r="I372" s="1">
        <v>1</v>
      </c>
      <c r="J372" s="4">
        <v>54294000</v>
      </c>
      <c r="K372" s="4">
        <v>42298000</v>
      </c>
      <c r="L372" s="4">
        <v>11996000</v>
      </c>
      <c r="M372" s="1" t="s">
        <v>20</v>
      </c>
    </row>
    <row r="373" spans="1:13">
      <c r="A373" s="1" t="s">
        <v>595</v>
      </c>
      <c r="B373" s="3">
        <v>46021</v>
      </c>
      <c r="C373" s="1" t="s">
        <v>127</v>
      </c>
      <c r="D373" s="1" t="s">
        <v>23</v>
      </c>
      <c r="E373" s="1" t="s">
        <v>60</v>
      </c>
      <c r="F373" s="1" t="s">
        <v>61</v>
      </c>
      <c r="G373" s="1" t="s">
        <v>24</v>
      </c>
      <c r="H373" s="1" t="s">
        <v>19</v>
      </c>
      <c r="I373" s="1">
        <v>1</v>
      </c>
      <c r="J373" s="4">
        <v>60105000</v>
      </c>
      <c r="K373" s="4">
        <v>49248000</v>
      </c>
      <c r="L373" s="4">
        <v>10857000</v>
      </c>
      <c r="M373" s="1" t="s">
        <v>20</v>
      </c>
    </row>
    <row r="374" spans="1:13">
      <c r="A374" s="1" t="s">
        <v>596</v>
      </c>
      <c r="B374" s="3">
        <v>45861</v>
      </c>
      <c r="C374" s="1" t="s">
        <v>321</v>
      </c>
      <c r="D374" s="1" t="s">
        <v>23</v>
      </c>
      <c r="E374" s="1" t="s">
        <v>57</v>
      </c>
      <c r="F374" s="1" t="s">
        <v>29</v>
      </c>
      <c r="G374" s="1" t="s">
        <v>24</v>
      </c>
      <c r="H374" s="1" t="s">
        <v>110</v>
      </c>
      <c r="I374" s="1">
        <v>3</v>
      </c>
      <c r="J374" s="4">
        <v>137468000</v>
      </c>
      <c r="K374" s="4">
        <v>110114000</v>
      </c>
      <c r="L374" s="4">
        <v>27354000</v>
      </c>
      <c r="M374" s="1" t="s">
        <v>20</v>
      </c>
    </row>
    <row r="375" spans="1:13">
      <c r="A375" s="1" t="s">
        <v>597</v>
      </c>
      <c r="B375" s="3">
        <v>45810</v>
      </c>
      <c r="C375" s="1" t="s">
        <v>129</v>
      </c>
      <c r="D375" s="1" t="s">
        <v>23</v>
      </c>
      <c r="E375" s="1" t="s">
        <v>60</v>
      </c>
      <c r="F375" s="1" t="s">
        <v>61</v>
      </c>
      <c r="G375" s="1" t="s">
        <v>41</v>
      </c>
      <c r="H375" s="1" t="s">
        <v>31</v>
      </c>
      <c r="I375" s="1">
        <v>1</v>
      </c>
      <c r="J375" s="4">
        <v>42863000</v>
      </c>
      <c r="K375" s="4">
        <v>49617000</v>
      </c>
      <c r="L375" s="4">
        <v>-6754000</v>
      </c>
      <c r="M375" s="1" t="s">
        <v>20</v>
      </c>
    </row>
    <row r="376" spans="1:13">
      <c r="A376" s="1" t="s">
        <v>598</v>
      </c>
      <c r="B376" s="3">
        <v>45734</v>
      </c>
      <c r="C376" s="1" t="s">
        <v>420</v>
      </c>
      <c r="D376" s="1" t="s">
        <v>23</v>
      </c>
      <c r="E376" s="1" t="s">
        <v>28</v>
      </c>
      <c r="F376" s="1" t="s">
        <v>29</v>
      </c>
      <c r="G376" s="1" t="s">
        <v>30</v>
      </c>
      <c r="H376" s="1" t="s">
        <v>37</v>
      </c>
      <c r="I376" s="1">
        <v>1</v>
      </c>
      <c r="J376" s="4">
        <v>54675000</v>
      </c>
      <c r="K376" s="4">
        <v>44849000</v>
      </c>
      <c r="L376" s="4">
        <v>9826000</v>
      </c>
      <c r="M376" s="1" t="s">
        <v>20</v>
      </c>
    </row>
    <row r="377" spans="1:13">
      <c r="A377" s="1" t="s">
        <v>599</v>
      </c>
      <c r="B377" s="3">
        <v>45671</v>
      </c>
      <c r="C377" s="1" t="s">
        <v>562</v>
      </c>
      <c r="D377" s="1" t="s">
        <v>15</v>
      </c>
      <c r="E377" s="1" t="s">
        <v>60</v>
      </c>
      <c r="F377" s="1" t="s">
        <v>61</v>
      </c>
      <c r="G377" s="1" t="s">
        <v>24</v>
      </c>
      <c r="H377" s="1" t="s">
        <v>31</v>
      </c>
      <c r="I377" s="1">
        <v>1</v>
      </c>
      <c r="J377" s="4">
        <v>60659000</v>
      </c>
      <c r="K377" s="4">
        <v>49936000</v>
      </c>
      <c r="L377" s="4">
        <v>10723000</v>
      </c>
      <c r="M377" s="1" t="s">
        <v>20</v>
      </c>
    </row>
    <row r="378" spans="1:13">
      <c r="A378" s="1" t="s">
        <v>600</v>
      </c>
      <c r="B378" s="3">
        <v>45833</v>
      </c>
      <c r="C378" s="1" t="s">
        <v>63</v>
      </c>
      <c r="D378" s="1" t="s">
        <v>23</v>
      </c>
      <c r="E378" s="1" t="s">
        <v>40</v>
      </c>
      <c r="F378" s="1" t="s">
        <v>29</v>
      </c>
      <c r="G378" s="1" t="s">
        <v>41</v>
      </c>
      <c r="H378" s="1" t="s">
        <v>31</v>
      </c>
      <c r="I378" s="1">
        <v>1</v>
      </c>
      <c r="J378" s="4">
        <v>18006000</v>
      </c>
      <c r="K378" s="4">
        <v>20605000</v>
      </c>
      <c r="L378" s="4">
        <v>-2599000</v>
      </c>
      <c r="M378" s="1" t="s">
        <v>20</v>
      </c>
    </row>
    <row r="379" spans="1:13">
      <c r="A379" s="1" t="s">
        <v>601</v>
      </c>
      <c r="B379" s="3">
        <v>45994</v>
      </c>
      <c r="C379" s="1" t="s">
        <v>412</v>
      </c>
      <c r="D379" s="1" t="s">
        <v>23</v>
      </c>
      <c r="E379" s="1" t="s">
        <v>64</v>
      </c>
      <c r="F379" s="1" t="s">
        <v>29</v>
      </c>
      <c r="G379" s="1" t="s">
        <v>30</v>
      </c>
      <c r="H379" s="1" t="s">
        <v>37</v>
      </c>
      <c r="I379" s="1">
        <v>1</v>
      </c>
      <c r="J379" s="4">
        <v>21046000</v>
      </c>
      <c r="K379" s="4">
        <v>17858000</v>
      </c>
      <c r="L379" s="4">
        <v>3188000</v>
      </c>
      <c r="M379" s="1" t="s">
        <v>20</v>
      </c>
    </row>
    <row r="380" spans="1:13">
      <c r="A380" s="1" t="s">
        <v>602</v>
      </c>
      <c r="B380" s="3">
        <v>45829</v>
      </c>
      <c r="C380" s="1" t="s">
        <v>439</v>
      </c>
      <c r="D380" s="1" t="s">
        <v>23</v>
      </c>
      <c r="E380" s="1" t="s">
        <v>60</v>
      </c>
      <c r="F380" s="1" t="s">
        <v>61</v>
      </c>
      <c r="G380" s="1" t="s">
        <v>41</v>
      </c>
      <c r="H380" s="1" t="s">
        <v>19</v>
      </c>
      <c r="I380" s="1">
        <v>1</v>
      </c>
      <c r="J380" s="4">
        <v>46260000</v>
      </c>
      <c r="K380" s="4">
        <v>50098000</v>
      </c>
      <c r="L380" s="4">
        <v>-3838000</v>
      </c>
      <c r="M380" s="1" t="s">
        <v>20</v>
      </c>
    </row>
    <row r="381" spans="1:13">
      <c r="A381" s="1" t="s">
        <v>603</v>
      </c>
      <c r="B381" s="3">
        <v>45808</v>
      </c>
      <c r="C381" s="1" t="s">
        <v>153</v>
      </c>
      <c r="D381" s="1" t="s">
        <v>23</v>
      </c>
      <c r="E381" s="1" t="s">
        <v>28</v>
      </c>
      <c r="F381" s="1" t="s">
        <v>29</v>
      </c>
      <c r="G381" s="1" t="s">
        <v>30</v>
      </c>
      <c r="H381" s="1" t="s">
        <v>19</v>
      </c>
      <c r="I381" s="1">
        <v>1</v>
      </c>
      <c r="J381" s="4">
        <v>53169000</v>
      </c>
      <c r="K381" s="4">
        <v>43849000</v>
      </c>
      <c r="L381" s="4">
        <v>9320000</v>
      </c>
      <c r="M381" s="1" t="s">
        <v>20</v>
      </c>
    </row>
    <row r="382" spans="1:13">
      <c r="A382" s="1" t="s">
        <v>604</v>
      </c>
      <c r="B382" s="3">
        <v>45719</v>
      </c>
      <c r="C382" s="1" t="s">
        <v>330</v>
      </c>
      <c r="D382" s="1" t="s">
        <v>23</v>
      </c>
      <c r="E382" s="1" t="s">
        <v>64</v>
      </c>
      <c r="F382" s="1" t="s">
        <v>29</v>
      </c>
      <c r="G382" s="1" t="s">
        <v>41</v>
      </c>
      <c r="H382" s="1" t="s">
        <v>25</v>
      </c>
      <c r="I382" s="1">
        <v>1</v>
      </c>
      <c r="J382" s="4">
        <v>20835000</v>
      </c>
      <c r="K382" s="4">
        <v>18948000</v>
      </c>
      <c r="L382" s="4">
        <v>1887000</v>
      </c>
      <c r="M382" s="1" t="s">
        <v>20</v>
      </c>
    </row>
    <row r="383" spans="1:13">
      <c r="A383" s="1" t="s">
        <v>605</v>
      </c>
      <c r="B383" s="3">
        <v>45949</v>
      </c>
      <c r="C383" s="1" t="s">
        <v>105</v>
      </c>
      <c r="D383" s="1" t="s">
        <v>15</v>
      </c>
      <c r="E383" s="1" t="s">
        <v>64</v>
      </c>
      <c r="F383" s="1" t="s">
        <v>29</v>
      </c>
      <c r="G383" s="1" t="s">
        <v>30</v>
      </c>
      <c r="H383" s="1" t="s">
        <v>110</v>
      </c>
      <c r="I383" s="1">
        <v>1</v>
      </c>
      <c r="J383" s="4">
        <v>23146000</v>
      </c>
      <c r="K383" s="4">
        <v>17715000</v>
      </c>
      <c r="L383" s="4">
        <v>5431000</v>
      </c>
      <c r="M383" s="1" t="s">
        <v>20</v>
      </c>
    </row>
    <row r="384" spans="1:13">
      <c r="A384" s="1" t="s">
        <v>606</v>
      </c>
      <c r="B384" s="3">
        <v>45982</v>
      </c>
      <c r="C384" s="1" t="s">
        <v>254</v>
      </c>
      <c r="D384" s="1" t="s">
        <v>23</v>
      </c>
      <c r="E384" s="1" t="s">
        <v>16</v>
      </c>
      <c r="F384" s="1" t="s">
        <v>17</v>
      </c>
      <c r="G384" s="1" t="s">
        <v>18</v>
      </c>
      <c r="H384" s="1" t="s">
        <v>31</v>
      </c>
      <c r="I384" s="1">
        <v>1</v>
      </c>
      <c r="J384" s="4">
        <v>15359000</v>
      </c>
      <c r="K384" s="4">
        <v>14611000</v>
      </c>
      <c r="L384" s="4">
        <v>748000</v>
      </c>
      <c r="M384" s="1" t="s">
        <v>20</v>
      </c>
    </row>
    <row r="385" spans="1:13">
      <c r="A385" s="1" t="s">
        <v>607</v>
      </c>
      <c r="B385" s="3">
        <v>45972</v>
      </c>
      <c r="C385" s="1" t="s">
        <v>608</v>
      </c>
      <c r="D385" s="1" t="s">
        <v>23</v>
      </c>
      <c r="E385" s="1" t="s">
        <v>44</v>
      </c>
      <c r="F385" s="1" t="s">
        <v>17</v>
      </c>
      <c r="G385" s="1" t="s">
        <v>41</v>
      </c>
      <c r="H385" s="1" t="s">
        <v>34</v>
      </c>
      <c r="I385" s="1">
        <v>1</v>
      </c>
      <c r="J385" s="4">
        <v>21775000</v>
      </c>
      <c r="K385" s="4">
        <v>20720000</v>
      </c>
      <c r="L385" s="4">
        <v>1055000</v>
      </c>
      <c r="M385" s="1" t="s">
        <v>20</v>
      </c>
    </row>
    <row r="386" spans="1:13">
      <c r="A386" s="1" t="s">
        <v>609</v>
      </c>
      <c r="B386" s="3">
        <v>45822</v>
      </c>
      <c r="C386" s="1" t="s">
        <v>496</v>
      </c>
      <c r="D386" s="1" t="s">
        <v>23</v>
      </c>
      <c r="E386" s="1" t="s">
        <v>40</v>
      </c>
      <c r="F386" s="1" t="s">
        <v>29</v>
      </c>
      <c r="G386" s="1" t="s">
        <v>41</v>
      </c>
      <c r="H386" s="1" t="s">
        <v>110</v>
      </c>
      <c r="I386" s="1">
        <v>1</v>
      </c>
      <c r="J386" s="4">
        <v>16252000</v>
      </c>
      <c r="K386" s="4">
        <v>20263000</v>
      </c>
      <c r="L386" s="4">
        <v>-4011000</v>
      </c>
      <c r="M386" s="1" t="s">
        <v>20</v>
      </c>
    </row>
    <row r="387" spans="1:13">
      <c r="A387" s="1" t="s">
        <v>610</v>
      </c>
      <c r="B387" s="3">
        <v>45724</v>
      </c>
      <c r="C387" s="1" t="s">
        <v>59</v>
      </c>
      <c r="D387" s="1" t="s">
        <v>23</v>
      </c>
      <c r="E387" s="1" t="s">
        <v>16</v>
      </c>
      <c r="F387" s="1" t="s">
        <v>17</v>
      </c>
      <c r="G387" s="1" t="s">
        <v>24</v>
      </c>
      <c r="H387" s="1" t="s">
        <v>19</v>
      </c>
      <c r="I387" s="1">
        <v>1</v>
      </c>
      <c r="J387" s="4">
        <v>17073000</v>
      </c>
      <c r="K387" s="4">
        <v>13841000</v>
      </c>
      <c r="L387" s="4">
        <v>3232000</v>
      </c>
      <c r="M387" s="1" t="s">
        <v>69</v>
      </c>
    </row>
    <row r="388" spans="1:13">
      <c r="A388" s="1" t="s">
        <v>611</v>
      </c>
      <c r="B388" s="3">
        <v>45926</v>
      </c>
      <c r="C388" s="1" t="s">
        <v>81</v>
      </c>
      <c r="D388" s="1" t="s">
        <v>15</v>
      </c>
      <c r="E388" s="1" t="s">
        <v>44</v>
      </c>
      <c r="F388" s="1" t="s">
        <v>17</v>
      </c>
      <c r="G388" s="1" t="s">
        <v>30</v>
      </c>
      <c r="H388" s="1" t="s">
        <v>25</v>
      </c>
      <c r="I388" s="1">
        <v>3</v>
      </c>
      <c r="J388" s="4">
        <v>78272000</v>
      </c>
      <c r="K388" s="4">
        <v>68025000</v>
      </c>
      <c r="L388" s="4">
        <v>10247000</v>
      </c>
      <c r="M388" s="1" t="s">
        <v>20</v>
      </c>
    </row>
    <row r="389" spans="1:13">
      <c r="A389" s="1" t="s">
        <v>612</v>
      </c>
      <c r="B389" s="3">
        <v>45667</v>
      </c>
      <c r="C389" s="1" t="s">
        <v>613</v>
      </c>
      <c r="D389" s="1" t="s">
        <v>15</v>
      </c>
      <c r="E389" s="1" t="s">
        <v>54</v>
      </c>
      <c r="F389" s="1" t="s">
        <v>17</v>
      </c>
      <c r="G389" s="1" t="s">
        <v>18</v>
      </c>
      <c r="H389" s="1" t="s">
        <v>25</v>
      </c>
      <c r="I389" s="1">
        <v>1</v>
      </c>
      <c r="J389" s="4">
        <v>29510000</v>
      </c>
      <c r="K389" s="4">
        <v>23408000</v>
      </c>
      <c r="L389" s="4">
        <v>6102000</v>
      </c>
      <c r="M389" s="1" t="s">
        <v>20</v>
      </c>
    </row>
    <row r="390" spans="1:13">
      <c r="A390" s="1" t="s">
        <v>614</v>
      </c>
      <c r="B390" s="3">
        <v>45985</v>
      </c>
      <c r="C390" s="1" t="s">
        <v>229</v>
      </c>
      <c r="D390" s="1" t="s">
        <v>23</v>
      </c>
      <c r="E390" s="1" t="s">
        <v>54</v>
      </c>
      <c r="F390" s="1" t="s">
        <v>17</v>
      </c>
      <c r="G390" s="1" t="s">
        <v>18</v>
      </c>
      <c r="H390" s="1" t="s">
        <v>37</v>
      </c>
      <c r="I390" s="1">
        <v>1</v>
      </c>
      <c r="J390" s="4">
        <v>24990000</v>
      </c>
      <c r="K390" s="4">
        <v>23576000</v>
      </c>
      <c r="L390" s="4">
        <v>1414000</v>
      </c>
      <c r="M390" s="1" t="s">
        <v>20</v>
      </c>
    </row>
    <row r="391" spans="1:13">
      <c r="A391" s="1" t="s">
        <v>615</v>
      </c>
      <c r="B391" s="3">
        <v>45717</v>
      </c>
      <c r="C391" s="1" t="s">
        <v>616</v>
      </c>
      <c r="D391" s="1" t="s">
        <v>23</v>
      </c>
      <c r="E391" s="1" t="s">
        <v>44</v>
      </c>
      <c r="F391" s="1" t="s">
        <v>17</v>
      </c>
      <c r="G391" s="1" t="s">
        <v>18</v>
      </c>
      <c r="H391" s="1" t="s">
        <v>110</v>
      </c>
      <c r="I391" s="1">
        <v>1</v>
      </c>
      <c r="J391" s="4">
        <v>26544000</v>
      </c>
      <c r="K391" s="4">
        <v>21044000</v>
      </c>
      <c r="L391" s="4">
        <v>5500000</v>
      </c>
      <c r="M391" s="1" t="s">
        <v>20</v>
      </c>
    </row>
    <row r="392" spans="1:13">
      <c r="A392" s="1" t="s">
        <v>617</v>
      </c>
      <c r="B392" s="3">
        <v>45873</v>
      </c>
      <c r="C392" s="1" t="s">
        <v>566</v>
      </c>
      <c r="D392" s="1" t="s">
        <v>15</v>
      </c>
      <c r="E392" s="1" t="s">
        <v>60</v>
      </c>
      <c r="F392" s="1" t="s">
        <v>61</v>
      </c>
      <c r="G392" s="1" t="s">
        <v>24</v>
      </c>
      <c r="H392" s="1" t="s">
        <v>37</v>
      </c>
      <c r="I392" s="1">
        <v>1</v>
      </c>
      <c r="J392" s="4">
        <v>62143000</v>
      </c>
      <c r="K392" s="4">
        <v>48668000</v>
      </c>
      <c r="L392" s="4">
        <v>13475000</v>
      </c>
      <c r="M392" s="1" t="s">
        <v>20</v>
      </c>
    </row>
    <row r="393" spans="1:13">
      <c r="A393" s="1" t="s">
        <v>618</v>
      </c>
      <c r="B393" s="3">
        <v>45974</v>
      </c>
      <c r="C393" s="1" t="s">
        <v>141</v>
      </c>
      <c r="D393" s="1" t="s">
        <v>23</v>
      </c>
      <c r="E393" s="1" t="s">
        <v>16</v>
      </c>
      <c r="F393" s="1" t="s">
        <v>17</v>
      </c>
      <c r="G393" s="1" t="s">
        <v>30</v>
      </c>
      <c r="H393" s="1" t="s">
        <v>110</v>
      </c>
      <c r="I393" s="1">
        <v>1</v>
      </c>
      <c r="J393" s="4">
        <v>14256000</v>
      </c>
      <c r="K393" s="4">
        <v>14065000</v>
      </c>
      <c r="L393" s="4">
        <v>191000</v>
      </c>
      <c r="M393" s="1" t="s">
        <v>20</v>
      </c>
    </row>
    <row r="394" spans="1:13">
      <c r="A394" s="1" t="s">
        <v>619</v>
      </c>
      <c r="B394" s="3">
        <v>46018</v>
      </c>
      <c r="C394" s="1" t="s">
        <v>620</v>
      </c>
      <c r="D394" s="1" t="s">
        <v>23</v>
      </c>
      <c r="E394" s="1" t="s">
        <v>44</v>
      </c>
      <c r="F394" s="1" t="s">
        <v>17</v>
      </c>
      <c r="G394" s="1" t="s">
        <v>18</v>
      </c>
      <c r="H394" s="1" t="s">
        <v>34</v>
      </c>
      <c r="I394" s="1">
        <v>1</v>
      </c>
      <c r="J394" s="4">
        <v>28046000</v>
      </c>
      <c r="K394" s="4">
        <v>22210000</v>
      </c>
      <c r="L394" s="4">
        <v>5836000</v>
      </c>
      <c r="M394" s="1" t="s">
        <v>20</v>
      </c>
    </row>
    <row r="395" spans="1:13">
      <c r="A395" s="1" t="s">
        <v>621</v>
      </c>
      <c r="B395" s="3">
        <v>46001</v>
      </c>
      <c r="C395" s="1" t="s">
        <v>622</v>
      </c>
      <c r="D395" s="1" t="s">
        <v>23</v>
      </c>
      <c r="E395" s="1" t="s">
        <v>16</v>
      </c>
      <c r="F395" s="1" t="s">
        <v>17</v>
      </c>
      <c r="G395" s="1" t="s">
        <v>18</v>
      </c>
      <c r="H395" s="1" t="s">
        <v>110</v>
      </c>
      <c r="I395" s="1">
        <v>1</v>
      </c>
      <c r="J395" s="4">
        <v>18076000</v>
      </c>
      <c r="K395" s="4">
        <v>15152000</v>
      </c>
      <c r="L395" s="4">
        <v>2924000</v>
      </c>
      <c r="M395" s="1" t="s">
        <v>20</v>
      </c>
    </row>
    <row r="396" spans="1:13">
      <c r="A396" s="1" t="s">
        <v>623</v>
      </c>
      <c r="B396" s="3">
        <v>45987</v>
      </c>
      <c r="C396" s="1" t="s">
        <v>577</v>
      </c>
      <c r="D396" s="1" t="s">
        <v>15</v>
      </c>
      <c r="E396" s="1" t="s">
        <v>54</v>
      </c>
      <c r="F396" s="1" t="s">
        <v>17</v>
      </c>
      <c r="G396" s="1" t="s">
        <v>41</v>
      </c>
      <c r="H396" s="1" t="s">
        <v>110</v>
      </c>
      <c r="I396" s="1">
        <v>1</v>
      </c>
      <c r="J396" s="4">
        <v>23378000</v>
      </c>
      <c r="K396" s="4">
        <v>22272000</v>
      </c>
      <c r="L396" s="4">
        <v>1106000</v>
      </c>
      <c r="M396" s="1" t="s">
        <v>20</v>
      </c>
    </row>
    <row r="397" spans="1:13">
      <c r="A397" s="1" t="s">
        <v>624</v>
      </c>
      <c r="B397" s="3">
        <v>46004</v>
      </c>
      <c r="C397" s="1" t="s">
        <v>101</v>
      </c>
      <c r="D397" s="1" t="s">
        <v>15</v>
      </c>
      <c r="E397" s="1" t="s">
        <v>44</v>
      </c>
      <c r="F397" s="1" t="s">
        <v>17</v>
      </c>
      <c r="G397" s="1" t="s">
        <v>30</v>
      </c>
      <c r="H397" s="1" t="s">
        <v>110</v>
      </c>
      <c r="I397" s="1">
        <v>1</v>
      </c>
      <c r="J397" s="4">
        <v>27522000</v>
      </c>
      <c r="K397" s="4">
        <v>20810000</v>
      </c>
      <c r="L397" s="4">
        <v>6712000</v>
      </c>
      <c r="M397" s="1" t="s">
        <v>20</v>
      </c>
    </row>
    <row r="398" spans="1:13">
      <c r="A398" s="1" t="s">
        <v>625</v>
      </c>
      <c r="B398" s="3">
        <v>45841</v>
      </c>
      <c r="C398" s="1" t="s">
        <v>121</v>
      </c>
      <c r="D398" s="1" t="s">
        <v>15</v>
      </c>
      <c r="E398" s="1" t="s">
        <v>64</v>
      </c>
      <c r="F398" s="1" t="s">
        <v>29</v>
      </c>
      <c r="G398" s="1" t="s">
        <v>49</v>
      </c>
      <c r="H398" s="1" t="s">
        <v>25</v>
      </c>
      <c r="I398" s="1">
        <v>1</v>
      </c>
      <c r="J398" s="4">
        <v>22777000</v>
      </c>
      <c r="K398" s="4">
        <v>18067000</v>
      </c>
      <c r="L398" s="4">
        <v>4710000</v>
      </c>
      <c r="M398" s="1" t="s">
        <v>20</v>
      </c>
    </row>
    <row r="399" spans="1:13">
      <c r="A399" s="1" t="s">
        <v>626</v>
      </c>
      <c r="B399" s="3">
        <v>45891</v>
      </c>
      <c r="C399" s="1" t="s">
        <v>627</v>
      </c>
      <c r="D399" s="1" t="s">
        <v>23</v>
      </c>
      <c r="E399" s="1" t="s">
        <v>54</v>
      </c>
      <c r="F399" s="1" t="s">
        <v>17</v>
      </c>
      <c r="G399" s="1" t="s">
        <v>30</v>
      </c>
      <c r="H399" s="1" t="s">
        <v>37</v>
      </c>
      <c r="I399" s="1">
        <v>2</v>
      </c>
      <c r="J399" s="4">
        <v>59507000</v>
      </c>
      <c r="K399" s="4">
        <v>47091000</v>
      </c>
      <c r="L399" s="4">
        <v>12416000</v>
      </c>
      <c r="M399" s="1" t="s">
        <v>20</v>
      </c>
    </row>
    <row r="400" spans="1:13">
      <c r="A400" s="1" t="s">
        <v>628</v>
      </c>
      <c r="B400" s="3">
        <v>45688</v>
      </c>
      <c r="C400" s="1" t="s">
        <v>99</v>
      </c>
      <c r="D400" s="1" t="s">
        <v>15</v>
      </c>
      <c r="E400" s="1" t="s">
        <v>64</v>
      </c>
      <c r="F400" s="1" t="s">
        <v>29</v>
      </c>
      <c r="G400" s="1" t="s">
        <v>30</v>
      </c>
      <c r="H400" s="1" t="s">
        <v>19</v>
      </c>
      <c r="I400" s="1">
        <v>1</v>
      </c>
      <c r="J400" s="4">
        <v>23286000</v>
      </c>
      <c r="K400" s="4">
        <v>18268000</v>
      </c>
      <c r="L400" s="4">
        <v>5018000</v>
      </c>
      <c r="M400" s="1" t="s">
        <v>20</v>
      </c>
    </row>
    <row r="401" spans="1:13">
      <c r="A401" s="1" t="s">
        <v>629</v>
      </c>
      <c r="B401" s="3">
        <v>45852</v>
      </c>
      <c r="C401" s="1" t="s">
        <v>165</v>
      </c>
      <c r="D401" s="1" t="s">
        <v>15</v>
      </c>
      <c r="E401" s="1" t="s">
        <v>40</v>
      </c>
      <c r="F401" s="1" t="s">
        <v>29</v>
      </c>
      <c r="G401" s="1" t="s">
        <v>49</v>
      </c>
      <c r="H401" s="1" t="s">
        <v>34</v>
      </c>
      <c r="I401" s="1">
        <v>2</v>
      </c>
      <c r="J401" s="4">
        <v>50611000</v>
      </c>
      <c r="K401" s="4">
        <v>40500000</v>
      </c>
      <c r="L401" s="4">
        <v>10111000</v>
      </c>
      <c r="M401" s="1" t="s">
        <v>20</v>
      </c>
    </row>
    <row r="402" spans="1:13">
      <c r="A402" s="1" t="s">
        <v>630</v>
      </c>
      <c r="B402" s="3">
        <v>45868</v>
      </c>
      <c r="C402" s="1" t="s">
        <v>631</v>
      </c>
      <c r="D402" s="1" t="s">
        <v>23</v>
      </c>
      <c r="E402" s="1" t="s">
        <v>44</v>
      </c>
      <c r="F402" s="1" t="s">
        <v>17</v>
      </c>
      <c r="G402" s="1" t="s">
        <v>24</v>
      </c>
      <c r="H402" s="1" t="s">
        <v>37</v>
      </c>
      <c r="I402" s="1">
        <v>1</v>
      </c>
      <c r="J402" s="4">
        <v>24953000</v>
      </c>
      <c r="K402" s="4">
        <v>22603000</v>
      </c>
      <c r="L402" s="4">
        <v>2350000</v>
      </c>
      <c r="M402" s="1" t="s">
        <v>20</v>
      </c>
    </row>
    <row r="403" spans="1:13">
      <c r="A403" s="1" t="s">
        <v>632</v>
      </c>
      <c r="B403" s="3">
        <v>45947</v>
      </c>
      <c r="C403" s="1" t="s">
        <v>269</v>
      </c>
      <c r="D403" s="1" t="s">
        <v>15</v>
      </c>
      <c r="E403" s="1" t="s">
        <v>54</v>
      </c>
      <c r="F403" s="1" t="s">
        <v>17</v>
      </c>
      <c r="G403" s="1" t="s">
        <v>30</v>
      </c>
      <c r="H403" s="1" t="s">
        <v>25</v>
      </c>
      <c r="I403" s="1">
        <v>2</v>
      </c>
      <c r="J403" s="4">
        <v>57427000</v>
      </c>
      <c r="K403" s="4">
        <v>47273000</v>
      </c>
      <c r="L403" s="4">
        <v>10154000</v>
      </c>
      <c r="M403" s="1" t="s">
        <v>20</v>
      </c>
    </row>
    <row r="404" spans="1:13">
      <c r="A404" s="1" t="s">
        <v>633</v>
      </c>
      <c r="B404" s="3">
        <v>45835</v>
      </c>
      <c r="C404" s="1" t="s">
        <v>368</v>
      </c>
      <c r="D404" s="1" t="s">
        <v>15</v>
      </c>
      <c r="E404" s="1" t="s">
        <v>60</v>
      </c>
      <c r="F404" s="1" t="s">
        <v>61</v>
      </c>
      <c r="G404" s="1" t="s">
        <v>30</v>
      </c>
      <c r="H404" s="1" t="s">
        <v>19</v>
      </c>
      <c r="I404" s="1">
        <v>1</v>
      </c>
      <c r="J404" s="4">
        <v>46003000</v>
      </c>
      <c r="K404" s="4">
        <v>52480000</v>
      </c>
      <c r="L404" s="4">
        <v>-6477000</v>
      </c>
      <c r="M404" s="1" t="s">
        <v>20</v>
      </c>
    </row>
    <row r="405" spans="1:13">
      <c r="A405" s="1" t="s">
        <v>634</v>
      </c>
      <c r="B405" s="3">
        <v>45898</v>
      </c>
      <c r="C405" s="1" t="s">
        <v>364</v>
      </c>
      <c r="D405" s="1" t="s">
        <v>15</v>
      </c>
      <c r="E405" s="1" t="s">
        <v>64</v>
      </c>
      <c r="F405" s="1" t="s">
        <v>29</v>
      </c>
      <c r="G405" s="1" t="s">
        <v>24</v>
      </c>
      <c r="H405" s="1" t="s">
        <v>31</v>
      </c>
      <c r="I405" s="1">
        <v>1</v>
      </c>
      <c r="J405" s="4">
        <v>22086000</v>
      </c>
      <c r="K405" s="4">
        <v>17826000</v>
      </c>
      <c r="L405" s="4">
        <v>4260000</v>
      </c>
      <c r="M405" s="1" t="s">
        <v>69</v>
      </c>
    </row>
    <row r="406" spans="1:13">
      <c r="A406" s="1" t="s">
        <v>635</v>
      </c>
      <c r="B406" s="3">
        <v>45939</v>
      </c>
      <c r="C406" s="1" t="s">
        <v>636</v>
      </c>
      <c r="D406" s="1" t="s">
        <v>23</v>
      </c>
      <c r="E406" s="1" t="s">
        <v>60</v>
      </c>
      <c r="F406" s="1" t="s">
        <v>61</v>
      </c>
      <c r="G406" s="1" t="s">
        <v>49</v>
      </c>
      <c r="H406" s="1" t="s">
        <v>25</v>
      </c>
      <c r="I406" s="1">
        <v>1</v>
      </c>
      <c r="J406" s="4">
        <v>60981000</v>
      </c>
      <c r="K406" s="4">
        <v>52021000</v>
      </c>
      <c r="L406" s="4">
        <v>8960000</v>
      </c>
      <c r="M406" s="1" t="s">
        <v>20</v>
      </c>
    </row>
    <row r="407" spans="1:13">
      <c r="A407" s="1" t="s">
        <v>637</v>
      </c>
      <c r="B407" s="3">
        <v>45819</v>
      </c>
      <c r="C407" s="1" t="s">
        <v>559</v>
      </c>
      <c r="D407" s="1" t="s">
        <v>23</v>
      </c>
      <c r="E407" s="1" t="s">
        <v>16</v>
      </c>
      <c r="F407" s="1" t="s">
        <v>17</v>
      </c>
      <c r="G407" s="1" t="s">
        <v>18</v>
      </c>
      <c r="H407" s="1" t="s">
        <v>19</v>
      </c>
      <c r="I407" s="1">
        <v>1</v>
      </c>
      <c r="J407" s="4">
        <v>12355000</v>
      </c>
      <c r="K407" s="4">
        <v>14373000</v>
      </c>
      <c r="L407" s="4">
        <v>-2018000</v>
      </c>
      <c r="M407" s="1" t="s">
        <v>20</v>
      </c>
    </row>
    <row r="408" spans="1:13">
      <c r="A408" s="1" t="s">
        <v>638</v>
      </c>
      <c r="B408" s="3">
        <v>45974</v>
      </c>
      <c r="C408" s="1" t="s">
        <v>639</v>
      </c>
      <c r="D408" s="1" t="s">
        <v>15</v>
      </c>
      <c r="E408" s="1" t="s">
        <v>60</v>
      </c>
      <c r="F408" s="1" t="s">
        <v>61</v>
      </c>
      <c r="G408" s="1" t="s">
        <v>18</v>
      </c>
      <c r="H408" s="1" t="s">
        <v>31</v>
      </c>
      <c r="I408" s="1">
        <v>1</v>
      </c>
      <c r="J408" s="4">
        <v>51275000</v>
      </c>
      <c r="K408" s="4">
        <v>50279000</v>
      </c>
      <c r="L408" s="4">
        <v>996000</v>
      </c>
      <c r="M408" s="1" t="s">
        <v>20</v>
      </c>
    </row>
    <row r="409" spans="1:13">
      <c r="A409" s="1" t="s">
        <v>640</v>
      </c>
      <c r="B409" s="3">
        <v>45890</v>
      </c>
      <c r="C409" s="1" t="s">
        <v>641</v>
      </c>
      <c r="D409" s="1" t="s">
        <v>15</v>
      </c>
      <c r="E409" s="1" t="s">
        <v>44</v>
      </c>
      <c r="F409" s="1" t="s">
        <v>17</v>
      </c>
      <c r="G409" s="1" t="s">
        <v>30</v>
      </c>
      <c r="H409" s="1" t="s">
        <v>34</v>
      </c>
      <c r="I409" s="1">
        <v>1</v>
      </c>
      <c r="J409" s="4">
        <v>27379000</v>
      </c>
      <c r="K409" s="4">
        <v>21502000</v>
      </c>
      <c r="L409" s="4">
        <v>5877000</v>
      </c>
      <c r="M409" s="1" t="s">
        <v>20</v>
      </c>
    </row>
    <row r="410" spans="1:13">
      <c r="A410" s="1" t="s">
        <v>642</v>
      </c>
      <c r="B410" s="3">
        <v>45832</v>
      </c>
      <c r="C410" s="1" t="s">
        <v>51</v>
      </c>
      <c r="D410" s="1" t="s">
        <v>15</v>
      </c>
      <c r="E410" s="1" t="s">
        <v>44</v>
      </c>
      <c r="F410" s="1" t="s">
        <v>17</v>
      </c>
      <c r="G410" s="1" t="s">
        <v>30</v>
      </c>
      <c r="H410" s="1" t="s">
        <v>25</v>
      </c>
      <c r="I410" s="1">
        <v>1</v>
      </c>
      <c r="J410" s="4">
        <v>19294000</v>
      </c>
      <c r="K410" s="4">
        <v>21525000</v>
      </c>
      <c r="L410" s="4">
        <v>-2231000</v>
      </c>
      <c r="M410" s="1" t="s">
        <v>20</v>
      </c>
    </row>
    <row r="411" spans="1:13">
      <c r="A411" s="1" t="s">
        <v>643</v>
      </c>
      <c r="B411" s="3">
        <v>45729</v>
      </c>
      <c r="C411" s="1" t="s">
        <v>644</v>
      </c>
      <c r="D411" s="1" t="s">
        <v>15</v>
      </c>
      <c r="E411" s="1" t="s">
        <v>40</v>
      </c>
      <c r="F411" s="1" t="s">
        <v>29</v>
      </c>
      <c r="G411" s="1" t="s">
        <v>49</v>
      </c>
      <c r="H411" s="1" t="s">
        <v>31</v>
      </c>
      <c r="I411" s="1">
        <v>1</v>
      </c>
      <c r="J411" s="4">
        <v>23353000</v>
      </c>
      <c r="K411" s="4">
        <v>19198000</v>
      </c>
      <c r="L411" s="4">
        <v>4155000</v>
      </c>
      <c r="M411" s="1" t="s">
        <v>20</v>
      </c>
    </row>
    <row r="412" spans="1:13">
      <c r="A412" s="1" t="s">
        <v>645</v>
      </c>
      <c r="B412" s="3">
        <v>45892</v>
      </c>
      <c r="C412" s="1" t="s">
        <v>194</v>
      </c>
      <c r="D412" s="1" t="s">
        <v>23</v>
      </c>
      <c r="E412" s="1" t="s">
        <v>40</v>
      </c>
      <c r="F412" s="1" t="s">
        <v>29</v>
      </c>
      <c r="G412" s="1" t="s">
        <v>24</v>
      </c>
      <c r="H412" s="1" t="s">
        <v>34</v>
      </c>
      <c r="I412" s="1">
        <v>1</v>
      </c>
      <c r="J412" s="4">
        <v>24922000</v>
      </c>
      <c r="K412" s="4">
        <v>18902000</v>
      </c>
      <c r="L412" s="4">
        <v>6020000</v>
      </c>
      <c r="M412" s="1" t="s">
        <v>20</v>
      </c>
    </row>
    <row r="413" spans="1:13">
      <c r="A413" s="1" t="s">
        <v>646</v>
      </c>
      <c r="B413" s="3">
        <v>45888</v>
      </c>
      <c r="C413" s="1" t="s">
        <v>325</v>
      </c>
      <c r="D413" s="1" t="s">
        <v>23</v>
      </c>
      <c r="E413" s="1" t="s">
        <v>28</v>
      </c>
      <c r="F413" s="1" t="s">
        <v>29</v>
      </c>
      <c r="G413" s="1" t="s">
        <v>49</v>
      </c>
      <c r="H413" s="1" t="s">
        <v>19</v>
      </c>
      <c r="I413" s="1">
        <v>1</v>
      </c>
      <c r="J413" s="4">
        <v>55396000</v>
      </c>
      <c r="K413" s="4">
        <v>41344000</v>
      </c>
      <c r="L413" s="4">
        <v>14052000</v>
      </c>
      <c r="M413" s="1" t="s">
        <v>20</v>
      </c>
    </row>
    <row r="414" spans="1:13">
      <c r="A414" s="1" t="s">
        <v>647</v>
      </c>
      <c r="B414" s="3">
        <v>45905</v>
      </c>
      <c r="C414" s="1" t="s">
        <v>566</v>
      </c>
      <c r="D414" s="1" t="s">
        <v>15</v>
      </c>
      <c r="E414" s="1" t="s">
        <v>64</v>
      </c>
      <c r="F414" s="1" t="s">
        <v>29</v>
      </c>
      <c r="G414" s="1" t="s">
        <v>49</v>
      </c>
      <c r="H414" s="1" t="s">
        <v>37</v>
      </c>
      <c r="I414" s="1">
        <v>2</v>
      </c>
      <c r="J414" s="4">
        <v>45317000</v>
      </c>
      <c r="K414" s="4">
        <v>35406000</v>
      </c>
      <c r="L414" s="4">
        <v>9911000</v>
      </c>
      <c r="M414" s="1" t="s">
        <v>20</v>
      </c>
    </row>
    <row r="415" spans="1:13">
      <c r="A415" s="1" t="s">
        <v>648</v>
      </c>
      <c r="B415" s="3">
        <v>45965</v>
      </c>
      <c r="C415" s="1" t="s">
        <v>649</v>
      </c>
      <c r="D415" s="1" t="s">
        <v>23</v>
      </c>
      <c r="E415" s="1" t="s">
        <v>57</v>
      </c>
      <c r="F415" s="1" t="s">
        <v>29</v>
      </c>
      <c r="G415" s="1" t="s">
        <v>41</v>
      </c>
      <c r="H415" s="1" t="s">
        <v>25</v>
      </c>
      <c r="I415" s="1">
        <v>2</v>
      </c>
      <c r="J415" s="4">
        <v>70127000</v>
      </c>
      <c r="K415" s="4">
        <v>71774000</v>
      </c>
      <c r="L415" s="4">
        <v>-1647000</v>
      </c>
      <c r="M415" s="1" t="s">
        <v>20</v>
      </c>
    </row>
    <row r="416" spans="1:13">
      <c r="A416" s="1" t="s">
        <v>650</v>
      </c>
      <c r="B416" s="3">
        <v>45833</v>
      </c>
      <c r="C416" s="1" t="s">
        <v>125</v>
      </c>
      <c r="D416" s="1" t="s">
        <v>23</v>
      </c>
      <c r="E416" s="1" t="s">
        <v>64</v>
      </c>
      <c r="F416" s="1" t="s">
        <v>29</v>
      </c>
      <c r="G416" s="1" t="s">
        <v>24</v>
      </c>
      <c r="H416" s="1" t="s">
        <v>110</v>
      </c>
      <c r="I416" s="1">
        <v>1</v>
      </c>
      <c r="J416" s="4">
        <v>15740000</v>
      </c>
      <c r="K416" s="4">
        <v>18666000</v>
      </c>
      <c r="L416" s="4">
        <v>-2926000</v>
      </c>
      <c r="M416" s="1" t="s">
        <v>20</v>
      </c>
    </row>
    <row r="417" spans="1:13">
      <c r="A417" s="1" t="s">
        <v>651</v>
      </c>
      <c r="B417" s="3">
        <v>46022</v>
      </c>
      <c r="C417" s="1" t="s">
        <v>208</v>
      </c>
      <c r="D417" s="1" t="s">
        <v>23</v>
      </c>
      <c r="E417" s="1" t="s">
        <v>40</v>
      </c>
      <c r="F417" s="1" t="s">
        <v>29</v>
      </c>
      <c r="G417" s="1" t="s">
        <v>30</v>
      </c>
      <c r="H417" s="1" t="s">
        <v>37</v>
      </c>
      <c r="I417" s="1">
        <v>1</v>
      </c>
      <c r="J417" s="4">
        <v>23214000</v>
      </c>
      <c r="K417" s="4">
        <v>20224000</v>
      </c>
      <c r="L417" s="4">
        <v>2990000</v>
      </c>
      <c r="M417" s="1" t="s">
        <v>20</v>
      </c>
    </row>
    <row r="418" spans="1:13">
      <c r="A418" s="1" t="s">
        <v>652</v>
      </c>
      <c r="B418" s="3">
        <v>45990</v>
      </c>
      <c r="C418" s="1" t="s">
        <v>653</v>
      </c>
      <c r="D418" s="1" t="s">
        <v>23</v>
      </c>
      <c r="E418" s="1" t="s">
        <v>64</v>
      </c>
      <c r="F418" s="1" t="s">
        <v>29</v>
      </c>
      <c r="G418" s="1" t="s">
        <v>49</v>
      </c>
      <c r="H418" s="1" t="s">
        <v>19</v>
      </c>
      <c r="I418" s="1">
        <v>1</v>
      </c>
      <c r="J418" s="4">
        <v>18451000</v>
      </c>
      <c r="K418" s="4">
        <v>18685000</v>
      </c>
      <c r="L418" s="4">
        <v>-234000</v>
      </c>
      <c r="M418" s="1" t="s">
        <v>20</v>
      </c>
    </row>
    <row r="419" spans="1:13">
      <c r="A419" s="1" t="s">
        <v>654</v>
      </c>
      <c r="B419" s="3">
        <v>45950</v>
      </c>
      <c r="C419" s="1" t="s">
        <v>71</v>
      </c>
      <c r="D419" s="1" t="s">
        <v>15</v>
      </c>
      <c r="E419" s="1" t="s">
        <v>64</v>
      </c>
      <c r="F419" s="1" t="s">
        <v>29</v>
      </c>
      <c r="G419" s="1" t="s">
        <v>18</v>
      </c>
      <c r="H419" s="1" t="s">
        <v>19</v>
      </c>
      <c r="I419" s="1">
        <v>1</v>
      </c>
      <c r="J419" s="4">
        <v>23236000</v>
      </c>
      <c r="K419" s="4">
        <v>18362000</v>
      </c>
      <c r="L419" s="4">
        <v>4874000</v>
      </c>
      <c r="M419" s="1" t="s">
        <v>20</v>
      </c>
    </row>
    <row r="420" spans="1:13">
      <c r="A420" s="1" t="s">
        <v>655</v>
      </c>
      <c r="B420" s="3">
        <v>45712</v>
      </c>
      <c r="C420" s="1" t="s">
        <v>87</v>
      </c>
      <c r="D420" s="1" t="s">
        <v>23</v>
      </c>
      <c r="E420" s="1" t="s">
        <v>16</v>
      </c>
      <c r="F420" s="1" t="s">
        <v>17</v>
      </c>
      <c r="G420" s="1" t="s">
        <v>41</v>
      </c>
      <c r="H420" s="1" t="s">
        <v>31</v>
      </c>
      <c r="I420" s="1">
        <v>1</v>
      </c>
      <c r="J420" s="4">
        <v>17388000</v>
      </c>
      <c r="K420" s="4">
        <v>14863000</v>
      </c>
      <c r="L420" s="4">
        <v>2525000</v>
      </c>
      <c r="M420" s="1" t="s">
        <v>20</v>
      </c>
    </row>
    <row r="421" spans="1:13">
      <c r="A421" s="1" t="s">
        <v>656</v>
      </c>
      <c r="B421" s="3">
        <v>45689</v>
      </c>
      <c r="C421" s="1" t="s">
        <v>179</v>
      </c>
      <c r="D421" s="1" t="s">
        <v>23</v>
      </c>
      <c r="E421" s="1" t="s">
        <v>40</v>
      </c>
      <c r="F421" s="1" t="s">
        <v>29</v>
      </c>
      <c r="G421" s="1" t="s">
        <v>24</v>
      </c>
      <c r="H421" s="1" t="s">
        <v>31</v>
      </c>
      <c r="I421" s="1">
        <v>1</v>
      </c>
      <c r="J421" s="4">
        <v>22661000</v>
      </c>
      <c r="K421" s="4">
        <v>20422000</v>
      </c>
      <c r="L421" s="4">
        <v>2239000</v>
      </c>
      <c r="M421" s="1" t="s">
        <v>20</v>
      </c>
    </row>
    <row r="422" spans="1:13">
      <c r="A422" s="1" t="s">
        <v>657</v>
      </c>
      <c r="B422" s="3">
        <v>45989</v>
      </c>
      <c r="C422" s="1" t="s">
        <v>557</v>
      </c>
      <c r="D422" s="1" t="s">
        <v>23</v>
      </c>
      <c r="E422" s="1" t="s">
        <v>57</v>
      </c>
      <c r="F422" s="1" t="s">
        <v>29</v>
      </c>
      <c r="G422" s="1" t="s">
        <v>49</v>
      </c>
      <c r="H422" s="1" t="s">
        <v>25</v>
      </c>
      <c r="I422" s="1">
        <v>1</v>
      </c>
      <c r="J422" s="4">
        <v>36806000</v>
      </c>
      <c r="K422" s="4">
        <v>34746000</v>
      </c>
      <c r="L422" s="4">
        <v>2060000</v>
      </c>
      <c r="M422" s="1" t="s">
        <v>20</v>
      </c>
    </row>
    <row r="423" spans="1:13">
      <c r="A423" s="1" t="s">
        <v>658</v>
      </c>
      <c r="B423" s="3">
        <v>45871</v>
      </c>
      <c r="C423" s="1" t="s">
        <v>93</v>
      </c>
      <c r="D423" s="1" t="s">
        <v>15</v>
      </c>
      <c r="E423" s="1" t="s">
        <v>64</v>
      </c>
      <c r="F423" s="1" t="s">
        <v>29</v>
      </c>
      <c r="G423" s="1" t="s">
        <v>49</v>
      </c>
      <c r="H423" s="1" t="s">
        <v>31</v>
      </c>
      <c r="I423" s="1">
        <v>1</v>
      </c>
      <c r="J423" s="4">
        <v>22259000</v>
      </c>
      <c r="K423" s="4">
        <v>17409000</v>
      </c>
      <c r="L423" s="4">
        <v>4850000</v>
      </c>
      <c r="M423" s="1" t="s">
        <v>20</v>
      </c>
    </row>
    <row r="424" spans="1:13">
      <c r="A424" s="1" t="s">
        <v>659</v>
      </c>
      <c r="B424" s="3">
        <v>45982</v>
      </c>
      <c r="C424" s="1" t="s">
        <v>386</v>
      </c>
      <c r="D424" s="1" t="s">
        <v>15</v>
      </c>
      <c r="E424" s="1" t="s">
        <v>40</v>
      </c>
      <c r="F424" s="1" t="s">
        <v>29</v>
      </c>
      <c r="G424" s="1" t="s">
        <v>30</v>
      </c>
      <c r="H424" s="1" t="s">
        <v>110</v>
      </c>
      <c r="I424" s="1">
        <v>1</v>
      </c>
      <c r="J424" s="4">
        <v>19898000</v>
      </c>
      <c r="K424" s="4">
        <v>20005000</v>
      </c>
      <c r="L424" s="4">
        <v>-107000</v>
      </c>
      <c r="M424" s="1" t="s">
        <v>20</v>
      </c>
    </row>
    <row r="425" spans="1:13">
      <c r="A425" s="1" t="s">
        <v>660</v>
      </c>
      <c r="B425" s="3">
        <v>45887</v>
      </c>
      <c r="C425" s="1" t="s">
        <v>161</v>
      </c>
      <c r="D425" s="1" t="s">
        <v>15</v>
      </c>
      <c r="E425" s="1" t="s">
        <v>16</v>
      </c>
      <c r="F425" s="1" t="s">
        <v>17</v>
      </c>
      <c r="G425" s="1" t="s">
        <v>41</v>
      </c>
      <c r="H425" s="1" t="s">
        <v>19</v>
      </c>
      <c r="I425" s="1">
        <v>1</v>
      </c>
      <c r="J425" s="4">
        <v>17327000</v>
      </c>
      <c r="K425" s="4">
        <v>14520000</v>
      </c>
      <c r="L425" s="4">
        <v>2807000</v>
      </c>
      <c r="M425" s="1" t="s">
        <v>20</v>
      </c>
    </row>
    <row r="426" spans="1:13">
      <c r="A426" s="1" t="s">
        <v>661</v>
      </c>
      <c r="B426" s="3">
        <v>45793</v>
      </c>
      <c r="C426" s="1" t="s">
        <v>352</v>
      </c>
      <c r="D426" s="1" t="s">
        <v>15</v>
      </c>
      <c r="E426" s="1" t="s">
        <v>16</v>
      </c>
      <c r="F426" s="1" t="s">
        <v>17</v>
      </c>
      <c r="G426" s="1" t="s">
        <v>41</v>
      </c>
      <c r="H426" s="1" t="s">
        <v>19</v>
      </c>
      <c r="I426" s="1">
        <v>1</v>
      </c>
      <c r="J426" s="4">
        <v>17694000</v>
      </c>
      <c r="K426" s="4">
        <v>14804000</v>
      </c>
      <c r="L426" s="4">
        <v>2890000</v>
      </c>
      <c r="M426" s="1" t="s">
        <v>20</v>
      </c>
    </row>
    <row r="427" spans="1:13">
      <c r="A427" s="1" t="s">
        <v>662</v>
      </c>
      <c r="B427" s="3">
        <v>45684</v>
      </c>
      <c r="C427" s="1" t="s">
        <v>425</v>
      </c>
      <c r="D427" s="1" t="s">
        <v>15</v>
      </c>
      <c r="E427" s="1" t="s">
        <v>40</v>
      </c>
      <c r="F427" s="1" t="s">
        <v>29</v>
      </c>
      <c r="G427" s="1" t="s">
        <v>41</v>
      </c>
      <c r="H427" s="1" t="s">
        <v>19</v>
      </c>
      <c r="I427" s="1">
        <v>2</v>
      </c>
      <c r="J427" s="4">
        <v>46999000</v>
      </c>
      <c r="K427" s="4">
        <v>40748000</v>
      </c>
      <c r="L427" s="4">
        <v>6251000</v>
      </c>
      <c r="M427" s="1" t="s">
        <v>20</v>
      </c>
    </row>
    <row r="428" spans="1:13">
      <c r="A428" s="1" t="s">
        <v>663</v>
      </c>
      <c r="B428" s="3">
        <v>45770</v>
      </c>
      <c r="C428" s="1" t="s">
        <v>315</v>
      </c>
      <c r="D428" s="1" t="s">
        <v>23</v>
      </c>
      <c r="E428" s="1" t="s">
        <v>64</v>
      </c>
      <c r="F428" s="1" t="s">
        <v>29</v>
      </c>
      <c r="G428" s="1" t="s">
        <v>30</v>
      </c>
      <c r="H428" s="1" t="s">
        <v>31</v>
      </c>
      <c r="I428" s="1">
        <v>1</v>
      </c>
      <c r="J428" s="4">
        <v>21136000</v>
      </c>
      <c r="K428" s="4">
        <v>18379000</v>
      </c>
      <c r="L428" s="4">
        <v>2757000</v>
      </c>
      <c r="M428" s="1" t="s">
        <v>20</v>
      </c>
    </row>
    <row r="429" spans="1:13">
      <c r="A429" s="1" t="s">
        <v>664</v>
      </c>
      <c r="B429" s="3">
        <v>45997</v>
      </c>
      <c r="C429" s="1" t="s">
        <v>210</v>
      </c>
      <c r="D429" s="1" t="s">
        <v>23</v>
      </c>
      <c r="E429" s="1" t="s">
        <v>44</v>
      </c>
      <c r="F429" s="1" t="s">
        <v>17</v>
      </c>
      <c r="G429" s="1" t="s">
        <v>18</v>
      </c>
      <c r="H429" s="1" t="s">
        <v>34</v>
      </c>
      <c r="I429" s="1">
        <v>1</v>
      </c>
      <c r="J429" s="4">
        <v>27503000</v>
      </c>
      <c r="K429" s="4">
        <v>21866000</v>
      </c>
      <c r="L429" s="4">
        <v>5637000</v>
      </c>
      <c r="M429" s="1" t="s">
        <v>69</v>
      </c>
    </row>
    <row r="430" spans="1:13">
      <c r="A430" s="1" t="s">
        <v>665</v>
      </c>
      <c r="B430" s="3">
        <v>46000</v>
      </c>
      <c r="C430" s="1" t="s">
        <v>247</v>
      </c>
      <c r="D430" s="1" t="s">
        <v>23</v>
      </c>
      <c r="E430" s="1" t="s">
        <v>44</v>
      </c>
      <c r="F430" s="1" t="s">
        <v>17</v>
      </c>
      <c r="G430" s="1" t="s">
        <v>41</v>
      </c>
      <c r="H430" s="1" t="s">
        <v>25</v>
      </c>
      <c r="I430" s="1">
        <v>1</v>
      </c>
      <c r="J430" s="4">
        <v>28075000</v>
      </c>
      <c r="K430" s="4">
        <v>21242000</v>
      </c>
      <c r="L430" s="4">
        <v>6833000</v>
      </c>
      <c r="M430" s="1" t="s">
        <v>20</v>
      </c>
    </row>
    <row r="431" spans="1:13">
      <c r="A431" s="1" t="s">
        <v>666</v>
      </c>
      <c r="B431" s="3">
        <v>45716</v>
      </c>
      <c r="C431" s="1" t="s">
        <v>541</v>
      </c>
      <c r="D431" s="1" t="s">
        <v>23</v>
      </c>
      <c r="E431" s="1" t="s">
        <v>44</v>
      </c>
      <c r="F431" s="1" t="s">
        <v>17</v>
      </c>
      <c r="G431" s="1" t="s">
        <v>24</v>
      </c>
      <c r="H431" s="1" t="s">
        <v>25</v>
      </c>
      <c r="I431" s="1">
        <v>1</v>
      </c>
      <c r="J431" s="4">
        <v>28050000</v>
      </c>
      <c r="K431" s="4">
        <v>22502000</v>
      </c>
      <c r="L431" s="4">
        <v>5548000</v>
      </c>
      <c r="M431" s="1" t="s">
        <v>20</v>
      </c>
    </row>
    <row r="432" spans="1:13">
      <c r="A432" s="1" t="s">
        <v>667</v>
      </c>
      <c r="B432" s="3">
        <v>45907</v>
      </c>
      <c r="C432" s="1" t="s">
        <v>668</v>
      </c>
      <c r="D432" s="1" t="s">
        <v>15</v>
      </c>
      <c r="E432" s="1" t="s">
        <v>16</v>
      </c>
      <c r="F432" s="1" t="s">
        <v>17</v>
      </c>
      <c r="G432" s="1" t="s">
        <v>24</v>
      </c>
      <c r="H432" s="1" t="s">
        <v>19</v>
      </c>
      <c r="I432" s="1">
        <v>1</v>
      </c>
      <c r="J432" s="4">
        <v>18123000</v>
      </c>
      <c r="K432" s="4">
        <v>15150000</v>
      </c>
      <c r="L432" s="4">
        <v>2973000</v>
      </c>
      <c r="M432" s="1" t="s">
        <v>20</v>
      </c>
    </row>
    <row r="433" spans="1:13">
      <c r="A433" s="1" t="s">
        <v>669</v>
      </c>
      <c r="B433" s="3">
        <v>45661</v>
      </c>
      <c r="C433" s="1" t="s">
        <v>103</v>
      </c>
      <c r="D433" s="1" t="s">
        <v>23</v>
      </c>
      <c r="E433" s="1" t="s">
        <v>57</v>
      </c>
      <c r="F433" s="1" t="s">
        <v>29</v>
      </c>
      <c r="G433" s="1" t="s">
        <v>24</v>
      </c>
      <c r="H433" s="1" t="s">
        <v>37</v>
      </c>
      <c r="I433" s="1">
        <v>1</v>
      </c>
      <c r="J433" s="4">
        <v>41612000</v>
      </c>
      <c r="K433" s="4">
        <v>36158000</v>
      </c>
      <c r="L433" s="4">
        <v>5454000</v>
      </c>
      <c r="M433" s="1" t="s">
        <v>20</v>
      </c>
    </row>
    <row r="434" spans="1:13">
      <c r="A434" s="1" t="s">
        <v>670</v>
      </c>
      <c r="B434" s="3">
        <v>45880</v>
      </c>
      <c r="C434" s="1" t="s">
        <v>200</v>
      </c>
      <c r="D434" s="1" t="s">
        <v>15</v>
      </c>
      <c r="E434" s="1" t="s">
        <v>60</v>
      </c>
      <c r="F434" s="1" t="s">
        <v>61</v>
      </c>
      <c r="G434" s="1" t="s">
        <v>18</v>
      </c>
      <c r="H434" s="1" t="s">
        <v>34</v>
      </c>
      <c r="I434" s="1">
        <v>1</v>
      </c>
      <c r="J434" s="4">
        <v>58559000</v>
      </c>
      <c r="K434" s="4">
        <v>50294000</v>
      </c>
      <c r="L434" s="4">
        <v>8265000</v>
      </c>
      <c r="M434" s="1" t="s">
        <v>20</v>
      </c>
    </row>
    <row r="435" spans="1:13">
      <c r="A435" s="1" t="s">
        <v>671</v>
      </c>
      <c r="B435" s="3">
        <v>45749</v>
      </c>
      <c r="C435" s="1" t="s">
        <v>616</v>
      </c>
      <c r="D435" s="1" t="s">
        <v>15</v>
      </c>
      <c r="E435" s="1" t="s">
        <v>40</v>
      </c>
      <c r="F435" s="1" t="s">
        <v>29</v>
      </c>
      <c r="G435" s="1" t="s">
        <v>49</v>
      </c>
      <c r="H435" s="1" t="s">
        <v>25</v>
      </c>
      <c r="I435" s="1">
        <v>1</v>
      </c>
      <c r="J435" s="4">
        <v>23270000</v>
      </c>
      <c r="K435" s="4">
        <v>19322000</v>
      </c>
      <c r="L435" s="4">
        <v>3948000</v>
      </c>
      <c r="M435" s="1" t="s">
        <v>20</v>
      </c>
    </row>
    <row r="436" spans="1:13">
      <c r="A436" s="1" t="s">
        <v>672</v>
      </c>
      <c r="B436" s="3">
        <v>45819</v>
      </c>
      <c r="C436" s="1" t="s">
        <v>673</v>
      </c>
      <c r="D436" s="1" t="s">
        <v>15</v>
      </c>
      <c r="E436" s="1" t="s">
        <v>16</v>
      </c>
      <c r="F436" s="1" t="s">
        <v>17</v>
      </c>
      <c r="G436" s="1" t="s">
        <v>18</v>
      </c>
      <c r="H436" s="1" t="s">
        <v>37</v>
      </c>
      <c r="I436" s="1">
        <v>1</v>
      </c>
      <c r="J436" s="4">
        <v>13263000</v>
      </c>
      <c r="K436" s="4">
        <v>14672000</v>
      </c>
      <c r="L436" s="4">
        <v>-1409000</v>
      </c>
      <c r="M436" s="1" t="s">
        <v>20</v>
      </c>
    </row>
    <row r="437" spans="1:13">
      <c r="A437" s="1" t="s">
        <v>674</v>
      </c>
      <c r="B437" s="3">
        <v>45695</v>
      </c>
      <c r="C437" s="1" t="s">
        <v>557</v>
      </c>
      <c r="D437" s="1" t="s">
        <v>23</v>
      </c>
      <c r="E437" s="1" t="s">
        <v>44</v>
      </c>
      <c r="F437" s="1" t="s">
        <v>17</v>
      </c>
      <c r="G437" s="1" t="s">
        <v>49</v>
      </c>
      <c r="H437" s="1" t="s">
        <v>25</v>
      </c>
      <c r="I437" s="1">
        <v>1</v>
      </c>
      <c r="J437" s="4">
        <v>27273000</v>
      </c>
      <c r="K437" s="4">
        <v>22032000</v>
      </c>
      <c r="L437" s="4">
        <v>5241000</v>
      </c>
      <c r="M437" s="1" t="s">
        <v>20</v>
      </c>
    </row>
    <row r="438" spans="1:13">
      <c r="A438" s="1" t="s">
        <v>675</v>
      </c>
      <c r="B438" s="3">
        <v>45860</v>
      </c>
      <c r="C438" s="1" t="s">
        <v>676</v>
      </c>
      <c r="D438" s="1" t="s">
        <v>23</v>
      </c>
      <c r="E438" s="1" t="s">
        <v>40</v>
      </c>
      <c r="F438" s="1" t="s">
        <v>29</v>
      </c>
      <c r="G438" s="1" t="s">
        <v>24</v>
      </c>
      <c r="H438" s="1" t="s">
        <v>110</v>
      </c>
      <c r="I438" s="1">
        <v>1</v>
      </c>
      <c r="J438" s="4">
        <v>23246000</v>
      </c>
      <c r="K438" s="4">
        <v>20289000</v>
      </c>
      <c r="L438" s="4">
        <v>2957000</v>
      </c>
      <c r="M438" s="1" t="s">
        <v>20</v>
      </c>
    </row>
    <row r="439" spans="1:13">
      <c r="A439" s="1" t="s">
        <v>677</v>
      </c>
      <c r="B439" s="3">
        <v>45982</v>
      </c>
      <c r="C439" s="1" t="s">
        <v>491</v>
      </c>
      <c r="D439" s="1" t="s">
        <v>15</v>
      </c>
      <c r="E439" s="1" t="s">
        <v>16</v>
      </c>
      <c r="F439" s="1" t="s">
        <v>17</v>
      </c>
      <c r="G439" s="1" t="s">
        <v>18</v>
      </c>
      <c r="H439" s="1" t="s">
        <v>19</v>
      </c>
      <c r="I439" s="1">
        <v>2</v>
      </c>
      <c r="J439" s="4">
        <v>30800000</v>
      </c>
      <c r="K439" s="4">
        <v>29665000</v>
      </c>
      <c r="L439" s="4">
        <v>1135000</v>
      </c>
      <c r="M439" s="1" t="s">
        <v>20</v>
      </c>
    </row>
    <row r="440" spans="1:13">
      <c r="A440" s="1" t="s">
        <v>678</v>
      </c>
      <c r="B440" s="3">
        <v>45942</v>
      </c>
      <c r="C440" s="1" t="s">
        <v>679</v>
      </c>
      <c r="D440" s="1" t="s">
        <v>23</v>
      </c>
      <c r="E440" s="1" t="s">
        <v>16</v>
      </c>
      <c r="F440" s="1" t="s">
        <v>17</v>
      </c>
      <c r="G440" s="1" t="s">
        <v>41</v>
      </c>
      <c r="H440" s="1" t="s">
        <v>31</v>
      </c>
      <c r="I440" s="1">
        <v>1</v>
      </c>
      <c r="J440" s="4">
        <v>17842000</v>
      </c>
      <c r="K440" s="4">
        <v>14569000</v>
      </c>
      <c r="L440" s="4">
        <v>3273000</v>
      </c>
      <c r="M440" s="1" t="s">
        <v>20</v>
      </c>
    </row>
    <row r="441" spans="1:13">
      <c r="A441" s="1" t="s">
        <v>680</v>
      </c>
      <c r="B441" s="3">
        <v>45869</v>
      </c>
      <c r="C441" s="1" t="s">
        <v>121</v>
      </c>
      <c r="D441" s="1" t="s">
        <v>15</v>
      </c>
      <c r="E441" s="1" t="s">
        <v>64</v>
      </c>
      <c r="F441" s="1" t="s">
        <v>29</v>
      </c>
      <c r="G441" s="1" t="s">
        <v>30</v>
      </c>
      <c r="H441" s="1" t="s">
        <v>37</v>
      </c>
      <c r="I441" s="1">
        <v>1</v>
      </c>
      <c r="J441" s="4">
        <v>21206000</v>
      </c>
      <c r="K441" s="4">
        <v>18514000</v>
      </c>
      <c r="L441" s="4">
        <v>2692000</v>
      </c>
      <c r="M441" s="1" t="s">
        <v>20</v>
      </c>
    </row>
    <row r="442" spans="1:13">
      <c r="A442" s="1" t="s">
        <v>681</v>
      </c>
      <c r="B442" s="3">
        <v>45948</v>
      </c>
      <c r="C442" s="1" t="s">
        <v>187</v>
      </c>
      <c r="D442" s="1" t="s">
        <v>15</v>
      </c>
      <c r="E442" s="1" t="s">
        <v>64</v>
      </c>
      <c r="F442" s="1" t="s">
        <v>29</v>
      </c>
      <c r="G442" s="1" t="s">
        <v>18</v>
      </c>
      <c r="H442" s="1" t="s">
        <v>110</v>
      </c>
      <c r="I442" s="1">
        <v>2</v>
      </c>
      <c r="J442" s="4">
        <v>47047000</v>
      </c>
      <c r="K442" s="4">
        <v>36458000</v>
      </c>
      <c r="L442" s="4">
        <v>10589000</v>
      </c>
      <c r="M442" s="1" t="s">
        <v>20</v>
      </c>
    </row>
    <row r="443" spans="1:13">
      <c r="A443" s="1" t="s">
        <v>682</v>
      </c>
      <c r="B443" s="3">
        <v>45708</v>
      </c>
      <c r="C443" s="1" t="s">
        <v>302</v>
      </c>
      <c r="D443" s="1" t="s">
        <v>15</v>
      </c>
      <c r="E443" s="1" t="s">
        <v>54</v>
      </c>
      <c r="F443" s="1" t="s">
        <v>17</v>
      </c>
      <c r="G443" s="1" t="s">
        <v>24</v>
      </c>
      <c r="H443" s="1" t="s">
        <v>34</v>
      </c>
      <c r="I443" s="1">
        <v>2</v>
      </c>
      <c r="J443" s="4">
        <v>56226000</v>
      </c>
      <c r="K443" s="4">
        <v>47195000</v>
      </c>
      <c r="L443" s="4">
        <v>9031000</v>
      </c>
      <c r="M443" s="1" t="s">
        <v>20</v>
      </c>
    </row>
    <row r="444" spans="1:13">
      <c r="A444" s="1" t="s">
        <v>683</v>
      </c>
      <c r="B444" s="3">
        <v>45757</v>
      </c>
      <c r="C444" s="1" t="s">
        <v>613</v>
      </c>
      <c r="D444" s="1" t="s">
        <v>23</v>
      </c>
      <c r="E444" s="1" t="s">
        <v>44</v>
      </c>
      <c r="F444" s="1" t="s">
        <v>17</v>
      </c>
      <c r="G444" s="1" t="s">
        <v>41</v>
      </c>
      <c r="H444" s="1" t="s">
        <v>25</v>
      </c>
      <c r="I444" s="1">
        <v>1</v>
      </c>
      <c r="J444" s="4">
        <v>25963000</v>
      </c>
      <c r="K444" s="4">
        <v>21983000</v>
      </c>
      <c r="L444" s="4">
        <v>3980000</v>
      </c>
      <c r="M444" s="1" t="s">
        <v>20</v>
      </c>
    </row>
    <row r="445" spans="1:13">
      <c r="A445" s="1" t="s">
        <v>684</v>
      </c>
      <c r="B445" s="3">
        <v>45744</v>
      </c>
      <c r="C445" s="1" t="s">
        <v>392</v>
      </c>
      <c r="D445" s="1" t="s">
        <v>23</v>
      </c>
      <c r="E445" s="1" t="s">
        <v>16</v>
      </c>
      <c r="F445" s="1" t="s">
        <v>17</v>
      </c>
      <c r="G445" s="1" t="s">
        <v>41</v>
      </c>
      <c r="H445" s="1" t="s">
        <v>25</v>
      </c>
      <c r="I445" s="1">
        <v>1</v>
      </c>
      <c r="J445" s="4">
        <v>18651000</v>
      </c>
      <c r="K445" s="4">
        <v>14407000</v>
      </c>
      <c r="L445" s="4">
        <v>4244000</v>
      </c>
      <c r="M445" s="1" t="s">
        <v>20</v>
      </c>
    </row>
    <row r="446" spans="1:13">
      <c r="A446" s="1" t="s">
        <v>685</v>
      </c>
      <c r="B446" s="3">
        <v>45894</v>
      </c>
      <c r="C446" s="1" t="s">
        <v>27</v>
      </c>
      <c r="D446" s="1" t="s">
        <v>15</v>
      </c>
      <c r="E446" s="1" t="s">
        <v>44</v>
      </c>
      <c r="F446" s="1" t="s">
        <v>17</v>
      </c>
      <c r="G446" s="1" t="s">
        <v>30</v>
      </c>
      <c r="H446" s="1" t="s">
        <v>19</v>
      </c>
      <c r="I446" s="1">
        <v>1</v>
      </c>
      <c r="J446" s="4">
        <v>25285000</v>
      </c>
      <c r="K446" s="4">
        <v>22117000</v>
      </c>
      <c r="L446" s="4">
        <v>3168000</v>
      </c>
      <c r="M446" s="1" t="s">
        <v>20</v>
      </c>
    </row>
    <row r="447" spans="1:13">
      <c r="A447" s="1" t="s">
        <v>686</v>
      </c>
      <c r="B447" s="3">
        <v>45758</v>
      </c>
      <c r="C447" s="1" t="s">
        <v>147</v>
      </c>
      <c r="D447" s="1" t="s">
        <v>15</v>
      </c>
      <c r="E447" s="1" t="s">
        <v>54</v>
      </c>
      <c r="F447" s="1" t="s">
        <v>17</v>
      </c>
      <c r="G447" s="1" t="s">
        <v>24</v>
      </c>
      <c r="H447" s="1" t="s">
        <v>19</v>
      </c>
      <c r="I447" s="1">
        <v>1</v>
      </c>
      <c r="J447" s="4">
        <v>27069000</v>
      </c>
      <c r="K447" s="4">
        <v>22083000</v>
      </c>
      <c r="L447" s="4">
        <v>4986000</v>
      </c>
      <c r="M447" s="1" t="s">
        <v>20</v>
      </c>
    </row>
    <row r="448" spans="1:13">
      <c r="A448" s="1" t="s">
        <v>687</v>
      </c>
      <c r="B448" s="3">
        <v>45865</v>
      </c>
      <c r="C448" s="1" t="s">
        <v>129</v>
      </c>
      <c r="D448" s="1" t="s">
        <v>23</v>
      </c>
      <c r="E448" s="1" t="s">
        <v>40</v>
      </c>
      <c r="F448" s="1" t="s">
        <v>29</v>
      </c>
      <c r="G448" s="1" t="s">
        <v>30</v>
      </c>
      <c r="H448" s="1" t="s">
        <v>110</v>
      </c>
      <c r="I448" s="1">
        <v>1</v>
      </c>
      <c r="J448" s="4">
        <v>23373000</v>
      </c>
      <c r="K448" s="4">
        <v>20580000</v>
      </c>
      <c r="L448" s="4">
        <v>2793000</v>
      </c>
      <c r="M448" s="1" t="s">
        <v>20</v>
      </c>
    </row>
    <row r="449" spans="1:13">
      <c r="A449" s="1" t="s">
        <v>688</v>
      </c>
      <c r="B449" s="3">
        <v>45858</v>
      </c>
      <c r="C449" s="1" t="s">
        <v>95</v>
      </c>
      <c r="D449" s="1" t="s">
        <v>15</v>
      </c>
      <c r="E449" s="1" t="s">
        <v>54</v>
      </c>
      <c r="F449" s="1" t="s">
        <v>17</v>
      </c>
      <c r="G449" s="1" t="s">
        <v>41</v>
      </c>
      <c r="H449" s="1" t="s">
        <v>19</v>
      </c>
      <c r="I449" s="1">
        <v>1</v>
      </c>
      <c r="J449" s="4">
        <v>27868000</v>
      </c>
      <c r="K449" s="4">
        <v>23118000</v>
      </c>
      <c r="L449" s="4">
        <v>4750000</v>
      </c>
      <c r="M449" s="1" t="s">
        <v>20</v>
      </c>
    </row>
    <row r="450" spans="1:13">
      <c r="A450" s="1" t="s">
        <v>689</v>
      </c>
      <c r="B450" s="3">
        <v>45663</v>
      </c>
      <c r="C450" s="1" t="s">
        <v>397</v>
      </c>
      <c r="D450" s="1" t="s">
        <v>15</v>
      </c>
      <c r="E450" s="1" t="s">
        <v>60</v>
      </c>
      <c r="F450" s="1" t="s">
        <v>61</v>
      </c>
      <c r="G450" s="1" t="s">
        <v>30</v>
      </c>
      <c r="H450" s="1" t="s">
        <v>31</v>
      </c>
      <c r="I450" s="1">
        <v>1</v>
      </c>
      <c r="J450" s="4">
        <v>62209000</v>
      </c>
      <c r="K450" s="4">
        <v>48813000</v>
      </c>
      <c r="L450" s="4">
        <v>13396000</v>
      </c>
      <c r="M450" s="1" t="s">
        <v>20</v>
      </c>
    </row>
    <row r="451" spans="1:13">
      <c r="A451" s="1" t="s">
        <v>690</v>
      </c>
      <c r="B451" s="3">
        <v>45947</v>
      </c>
      <c r="C451" s="1" t="s">
        <v>469</v>
      </c>
      <c r="D451" s="1" t="s">
        <v>15</v>
      </c>
      <c r="E451" s="1" t="s">
        <v>64</v>
      </c>
      <c r="F451" s="1" t="s">
        <v>29</v>
      </c>
      <c r="G451" s="1" t="s">
        <v>49</v>
      </c>
      <c r="H451" s="1" t="s">
        <v>31</v>
      </c>
      <c r="I451" s="1">
        <v>2</v>
      </c>
      <c r="J451" s="4">
        <v>45569000</v>
      </c>
      <c r="K451" s="4">
        <v>36540000</v>
      </c>
      <c r="L451" s="4">
        <v>9029000</v>
      </c>
      <c r="M451" s="1" t="s">
        <v>20</v>
      </c>
    </row>
    <row r="452" spans="1:13">
      <c r="A452" s="1" t="s">
        <v>691</v>
      </c>
      <c r="B452" s="3">
        <v>45690</v>
      </c>
      <c r="C452" s="1" t="s">
        <v>579</v>
      </c>
      <c r="D452" s="1" t="s">
        <v>23</v>
      </c>
      <c r="E452" s="1" t="s">
        <v>54</v>
      </c>
      <c r="F452" s="1" t="s">
        <v>17</v>
      </c>
      <c r="G452" s="1" t="s">
        <v>49</v>
      </c>
      <c r="H452" s="1" t="s">
        <v>34</v>
      </c>
      <c r="I452" s="1">
        <v>1</v>
      </c>
      <c r="J452" s="4">
        <v>28709000</v>
      </c>
      <c r="K452" s="4">
        <v>23876000</v>
      </c>
      <c r="L452" s="4">
        <v>4833000</v>
      </c>
      <c r="M452" s="1" t="s">
        <v>20</v>
      </c>
    </row>
    <row r="453" spans="1:13">
      <c r="A453" s="1" t="s">
        <v>692</v>
      </c>
      <c r="B453" s="3">
        <v>45678</v>
      </c>
      <c r="C453" s="1" t="s">
        <v>693</v>
      </c>
      <c r="D453" s="1" t="s">
        <v>23</v>
      </c>
      <c r="E453" s="1" t="s">
        <v>64</v>
      </c>
      <c r="F453" s="1" t="s">
        <v>29</v>
      </c>
      <c r="G453" s="1" t="s">
        <v>24</v>
      </c>
      <c r="H453" s="1" t="s">
        <v>19</v>
      </c>
      <c r="I453" s="1">
        <v>1</v>
      </c>
      <c r="J453" s="4">
        <v>22171000</v>
      </c>
      <c r="K453" s="4">
        <v>18903000</v>
      </c>
      <c r="L453" s="4">
        <v>3268000</v>
      </c>
      <c r="M453" s="1" t="s">
        <v>20</v>
      </c>
    </row>
    <row r="454" spans="1:13">
      <c r="A454" s="1" t="s">
        <v>694</v>
      </c>
      <c r="B454" s="3">
        <v>45949</v>
      </c>
      <c r="C454" s="1" t="s">
        <v>695</v>
      </c>
      <c r="D454" s="1" t="s">
        <v>15</v>
      </c>
      <c r="E454" s="1" t="s">
        <v>16</v>
      </c>
      <c r="F454" s="1" t="s">
        <v>17</v>
      </c>
      <c r="G454" s="1" t="s">
        <v>30</v>
      </c>
      <c r="H454" s="1" t="s">
        <v>19</v>
      </c>
      <c r="I454" s="1">
        <v>1</v>
      </c>
      <c r="J454" s="4">
        <v>18449000</v>
      </c>
      <c r="K454" s="4">
        <v>14986000</v>
      </c>
      <c r="L454" s="4">
        <v>3463000</v>
      </c>
      <c r="M454" s="1" t="s">
        <v>20</v>
      </c>
    </row>
    <row r="455" spans="1:13">
      <c r="A455" s="1" t="s">
        <v>696</v>
      </c>
      <c r="B455" s="3">
        <v>45865</v>
      </c>
      <c r="C455" s="1" t="s">
        <v>143</v>
      </c>
      <c r="D455" s="1" t="s">
        <v>15</v>
      </c>
      <c r="E455" s="1" t="s">
        <v>44</v>
      </c>
      <c r="F455" s="1" t="s">
        <v>17</v>
      </c>
      <c r="G455" s="1" t="s">
        <v>49</v>
      </c>
      <c r="H455" s="1" t="s">
        <v>31</v>
      </c>
      <c r="I455" s="1">
        <v>1</v>
      </c>
      <c r="J455" s="4">
        <v>26571000</v>
      </c>
      <c r="K455" s="4">
        <v>22027000</v>
      </c>
      <c r="L455" s="4">
        <v>4544000</v>
      </c>
      <c r="M455" s="1" t="s">
        <v>20</v>
      </c>
    </row>
    <row r="456" spans="1:13">
      <c r="A456" s="1" t="s">
        <v>697</v>
      </c>
      <c r="B456" s="3">
        <v>45775</v>
      </c>
      <c r="C456" s="1" t="s">
        <v>73</v>
      </c>
      <c r="D456" s="1" t="s">
        <v>15</v>
      </c>
      <c r="E456" s="1" t="s">
        <v>16</v>
      </c>
      <c r="F456" s="1" t="s">
        <v>17</v>
      </c>
      <c r="G456" s="1" t="s">
        <v>30</v>
      </c>
      <c r="H456" s="1" t="s">
        <v>25</v>
      </c>
      <c r="I456" s="1">
        <v>1</v>
      </c>
      <c r="J456" s="4">
        <v>17357000</v>
      </c>
      <c r="K456" s="4">
        <v>14300000</v>
      </c>
      <c r="L456" s="4">
        <v>3057000</v>
      </c>
      <c r="M456" s="1" t="s">
        <v>20</v>
      </c>
    </row>
    <row r="457" spans="1:13">
      <c r="A457" s="1" t="s">
        <v>698</v>
      </c>
      <c r="B457" s="3">
        <v>45827</v>
      </c>
      <c r="C457" s="1" t="s">
        <v>229</v>
      </c>
      <c r="D457" s="1" t="s">
        <v>23</v>
      </c>
      <c r="E457" s="1" t="s">
        <v>40</v>
      </c>
      <c r="F457" s="1" t="s">
        <v>29</v>
      </c>
      <c r="G457" s="1" t="s">
        <v>30</v>
      </c>
      <c r="H457" s="1" t="s">
        <v>34</v>
      </c>
      <c r="I457" s="1">
        <v>1</v>
      </c>
      <c r="J457" s="4">
        <v>16717000</v>
      </c>
      <c r="K457" s="4">
        <v>19129000</v>
      </c>
      <c r="L457" s="4">
        <v>-2412000</v>
      </c>
      <c r="M457" s="1" t="s">
        <v>20</v>
      </c>
    </row>
    <row r="458" spans="1:13">
      <c r="A458" s="1" t="s">
        <v>699</v>
      </c>
      <c r="B458" s="3">
        <v>45723</v>
      </c>
      <c r="C458" s="1" t="s">
        <v>119</v>
      </c>
      <c r="D458" s="1" t="s">
        <v>23</v>
      </c>
      <c r="E458" s="1" t="s">
        <v>57</v>
      </c>
      <c r="F458" s="1" t="s">
        <v>29</v>
      </c>
      <c r="G458" s="1" t="s">
        <v>30</v>
      </c>
      <c r="H458" s="1" t="s">
        <v>19</v>
      </c>
      <c r="I458" s="1">
        <v>1</v>
      </c>
      <c r="J458" s="4">
        <v>40639000</v>
      </c>
      <c r="K458" s="4">
        <v>35757000</v>
      </c>
      <c r="L458" s="4">
        <v>4882000</v>
      </c>
      <c r="M458" s="1" t="s">
        <v>20</v>
      </c>
    </row>
    <row r="459" spans="1:13">
      <c r="A459" s="1" t="s">
        <v>700</v>
      </c>
      <c r="B459" s="3">
        <v>45865</v>
      </c>
      <c r="C459" s="1" t="s">
        <v>68</v>
      </c>
      <c r="D459" s="1" t="s">
        <v>15</v>
      </c>
      <c r="E459" s="1" t="s">
        <v>57</v>
      </c>
      <c r="F459" s="1" t="s">
        <v>29</v>
      </c>
      <c r="G459" s="1" t="s">
        <v>30</v>
      </c>
      <c r="H459" s="1" t="s">
        <v>25</v>
      </c>
      <c r="I459" s="1">
        <v>1</v>
      </c>
      <c r="J459" s="4">
        <v>44442000</v>
      </c>
      <c r="K459" s="4">
        <v>36074000</v>
      </c>
      <c r="L459" s="4">
        <v>8368000</v>
      </c>
      <c r="M459" s="1" t="s">
        <v>20</v>
      </c>
    </row>
    <row r="460" spans="1:13">
      <c r="A460" s="1" t="s">
        <v>701</v>
      </c>
      <c r="B460" s="3">
        <v>45968</v>
      </c>
      <c r="C460" s="1" t="s">
        <v>210</v>
      </c>
      <c r="D460" s="1" t="s">
        <v>15</v>
      </c>
      <c r="E460" s="1" t="s">
        <v>64</v>
      </c>
      <c r="F460" s="1" t="s">
        <v>29</v>
      </c>
      <c r="G460" s="1" t="s">
        <v>30</v>
      </c>
      <c r="H460" s="1" t="s">
        <v>19</v>
      </c>
      <c r="I460" s="1">
        <v>1</v>
      </c>
      <c r="J460" s="4">
        <v>18905000</v>
      </c>
      <c r="K460" s="4">
        <v>18485000</v>
      </c>
      <c r="L460" s="4">
        <v>420000</v>
      </c>
      <c r="M460" s="1" t="s">
        <v>20</v>
      </c>
    </row>
    <row r="461" spans="1:13">
      <c r="A461" s="1" t="s">
        <v>702</v>
      </c>
      <c r="B461" s="3">
        <v>45995</v>
      </c>
      <c r="C461" s="1" t="s">
        <v>695</v>
      </c>
      <c r="D461" s="1" t="s">
        <v>23</v>
      </c>
      <c r="E461" s="1" t="s">
        <v>28</v>
      </c>
      <c r="F461" s="1" t="s">
        <v>29</v>
      </c>
      <c r="G461" s="1" t="s">
        <v>49</v>
      </c>
      <c r="H461" s="1" t="s">
        <v>31</v>
      </c>
      <c r="I461" s="1">
        <v>1</v>
      </c>
      <c r="J461" s="4">
        <v>55115000</v>
      </c>
      <c r="K461" s="4">
        <v>43920000</v>
      </c>
      <c r="L461" s="4">
        <v>11195000</v>
      </c>
      <c r="M461" s="1" t="s">
        <v>20</v>
      </c>
    </row>
    <row r="462" spans="1:13">
      <c r="A462" s="1" t="s">
        <v>703</v>
      </c>
      <c r="B462" s="3">
        <v>45713</v>
      </c>
      <c r="C462" s="1" t="s">
        <v>177</v>
      </c>
      <c r="D462" s="1" t="s">
        <v>23</v>
      </c>
      <c r="E462" s="1" t="s">
        <v>16</v>
      </c>
      <c r="F462" s="1" t="s">
        <v>17</v>
      </c>
      <c r="G462" s="1" t="s">
        <v>49</v>
      </c>
      <c r="H462" s="1" t="s">
        <v>19</v>
      </c>
      <c r="I462" s="1">
        <v>2</v>
      </c>
      <c r="J462" s="4">
        <v>37043000</v>
      </c>
      <c r="K462" s="4">
        <v>29947000</v>
      </c>
      <c r="L462" s="4">
        <v>7096000</v>
      </c>
      <c r="M462" s="1" t="s">
        <v>20</v>
      </c>
    </row>
    <row r="463" spans="1:13">
      <c r="A463" s="1" t="s">
        <v>704</v>
      </c>
      <c r="B463" s="3">
        <v>45965</v>
      </c>
      <c r="C463" s="1" t="s">
        <v>335</v>
      </c>
      <c r="D463" s="1" t="s">
        <v>15</v>
      </c>
      <c r="E463" s="1" t="s">
        <v>16</v>
      </c>
      <c r="F463" s="1" t="s">
        <v>17</v>
      </c>
      <c r="G463" s="1" t="s">
        <v>24</v>
      </c>
      <c r="H463" s="1" t="s">
        <v>34</v>
      </c>
      <c r="I463" s="1">
        <v>1</v>
      </c>
      <c r="J463" s="4">
        <v>14100000</v>
      </c>
      <c r="K463" s="4">
        <v>14474000</v>
      </c>
      <c r="L463" s="4">
        <v>-374000</v>
      </c>
      <c r="M463" s="1" t="s">
        <v>20</v>
      </c>
    </row>
    <row r="464" spans="1:13">
      <c r="A464" s="1" t="s">
        <v>705</v>
      </c>
      <c r="B464" s="3">
        <v>46005</v>
      </c>
      <c r="C464" s="1" t="s">
        <v>541</v>
      </c>
      <c r="D464" s="1" t="s">
        <v>23</v>
      </c>
      <c r="E464" s="1" t="s">
        <v>60</v>
      </c>
      <c r="F464" s="1" t="s">
        <v>61</v>
      </c>
      <c r="G464" s="1" t="s">
        <v>49</v>
      </c>
      <c r="H464" s="1" t="s">
        <v>25</v>
      </c>
      <c r="I464" s="1">
        <v>1</v>
      </c>
      <c r="J464" s="4">
        <v>57684000</v>
      </c>
      <c r="K464" s="4">
        <v>50651000</v>
      </c>
      <c r="L464" s="4">
        <v>7033000</v>
      </c>
      <c r="M464" s="1" t="s">
        <v>20</v>
      </c>
    </row>
    <row r="465" spans="1:13">
      <c r="A465" s="1" t="s">
        <v>706</v>
      </c>
      <c r="B465" s="3">
        <v>45837</v>
      </c>
      <c r="C465" s="1" t="s">
        <v>181</v>
      </c>
      <c r="D465" s="1" t="s">
        <v>15</v>
      </c>
      <c r="E465" s="1" t="s">
        <v>57</v>
      </c>
      <c r="F465" s="1" t="s">
        <v>29</v>
      </c>
      <c r="G465" s="1" t="s">
        <v>30</v>
      </c>
      <c r="H465" s="1" t="s">
        <v>34</v>
      </c>
      <c r="I465" s="1">
        <v>1</v>
      </c>
      <c r="J465" s="4">
        <v>31907000</v>
      </c>
      <c r="K465" s="4">
        <v>34072000</v>
      </c>
      <c r="L465" s="4">
        <v>-2165000</v>
      </c>
      <c r="M465" s="1" t="s">
        <v>20</v>
      </c>
    </row>
    <row r="466" spans="1:13">
      <c r="A466" s="1" t="s">
        <v>707</v>
      </c>
      <c r="B466" s="3">
        <v>45803</v>
      </c>
      <c r="C466" s="1" t="s">
        <v>141</v>
      </c>
      <c r="D466" s="1" t="s">
        <v>23</v>
      </c>
      <c r="E466" s="1" t="s">
        <v>57</v>
      </c>
      <c r="F466" s="1" t="s">
        <v>29</v>
      </c>
      <c r="G466" s="1" t="s">
        <v>18</v>
      </c>
      <c r="H466" s="1" t="s">
        <v>19</v>
      </c>
      <c r="I466" s="1">
        <v>1</v>
      </c>
      <c r="J466" s="4">
        <v>40451000</v>
      </c>
      <c r="K466" s="4">
        <v>36365000</v>
      </c>
      <c r="L466" s="4">
        <v>4086000</v>
      </c>
      <c r="M466" s="1" t="s">
        <v>20</v>
      </c>
    </row>
    <row r="467" spans="1:13">
      <c r="A467" s="1" t="s">
        <v>708</v>
      </c>
      <c r="B467" s="3">
        <v>45661</v>
      </c>
      <c r="C467" s="1" t="s">
        <v>673</v>
      </c>
      <c r="D467" s="1" t="s">
        <v>23</v>
      </c>
      <c r="E467" s="1" t="s">
        <v>44</v>
      </c>
      <c r="F467" s="1" t="s">
        <v>17</v>
      </c>
      <c r="G467" s="1" t="s">
        <v>41</v>
      </c>
      <c r="H467" s="1" t="s">
        <v>110</v>
      </c>
      <c r="I467" s="1">
        <v>1</v>
      </c>
      <c r="J467" s="4">
        <v>26318000</v>
      </c>
      <c r="K467" s="4">
        <v>20942000</v>
      </c>
      <c r="L467" s="4">
        <v>5376000</v>
      </c>
      <c r="M467" s="1" t="s">
        <v>20</v>
      </c>
    </row>
    <row r="468" spans="1:13">
      <c r="A468" s="1" t="s">
        <v>709</v>
      </c>
      <c r="B468" s="3">
        <v>45932</v>
      </c>
      <c r="C468" s="1" t="s">
        <v>309</v>
      </c>
      <c r="D468" s="1" t="s">
        <v>23</v>
      </c>
      <c r="E468" s="1" t="s">
        <v>44</v>
      </c>
      <c r="F468" s="1" t="s">
        <v>17</v>
      </c>
      <c r="G468" s="1" t="s">
        <v>24</v>
      </c>
      <c r="H468" s="1" t="s">
        <v>25</v>
      </c>
      <c r="I468" s="1">
        <v>1</v>
      </c>
      <c r="J468" s="4">
        <v>27255000</v>
      </c>
      <c r="K468" s="4">
        <v>22356000</v>
      </c>
      <c r="L468" s="4">
        <v>4899000</v>
      </c>
      <c r="M468" s="1" t="s">
        <v>20</v>
      </c>
    </row>
    <row r="469" spans="1:13">
      <c r="A469" s="1" t="s">
        <v>710</v>
      </c>
      <c r="B469" s="3">
        <v>45749</v>
      </c>
      <c r="C469" s="1" t="s">
        <v>394</v>
      </c>
      <c r="D469" s="1" t="s">
        <v>15</v>
      </c>
      <c r="E469" s="1" t="s">
        <v>44</v>
      </c>
      <c r="F469" s="1" t="s">
        <v>17</v>
      </c>
      <c r="G469" s="1" t="s">
        <v>30</v>
      </c>
      <c r="H469" s="1" t="s">
        <v>37</v>
      </c>
      <c r="I469" s="1">
        <v>1</v>
      </c>
      <c r="J469" s="4">
        <v>25966000</v>
      </c>
      <c r="K469" s="4">
        <v>21461000</v>
      </c>
      <c r="L469" s="4">
        <v>4505000</v>
      </c>
      <c r="M469" s="1" t="s">
        <v>20</v>
      </c>
    </row>
    <row r="470" spans="1:13">
      <c r="A470" s="1" t="s">
        <v>711</v>
      </c>
      <c r="B470" s="3">
        <v>45718</v>
      </c>
      <c r="C470" s="1" t="s">
        <v>287</v>
      </c>
      <c r="D470" s="1" t="s">
        <v>23</v>
      </c>
      <c r="E470" s="1" t="s">
        <v>40</v>
      </c>
      <c r="F470" s="1" t="s">
        <v>29</v>
      </c>
      <c r="G470" s="1" t="s">
        <v>24</v>
      </c>
      <c r="H470" s="1" t="s">
        <v>19</v>
      </c>
      <c r="I470" s="1">
        <v>1</v>
      </c>
      <c r="J470" s="4">
        <v>23065000</v>
      </c>
      <c r="K470" s="4">
        <v>19235000</v>
      </c>
      <c r="L470" s="4">
        <v>3830000</v>
      </c>
      <c r="M470" s="1" t="s">
        <v>20</v>
      </c>
    </row>
    <row r="471" spans="1:13">
      <c r="A471" s="1" t="s">
        <v>712</v>
      </c>
      <c r="B471" s="3">
        <v>46014</v>
      </c>
      <c r="C471" s="1" t="s">
        <v>153</v>
      </c>
      <c r="D471" s="1" t="s">
        <v>23</v>
      </c>
      <c r="E471" s="1" t="s">
        <v>60</v>
      </c>
      <c r="F471" s="1" t="s">
        <v>61</v>
      </c>
      <c r="G471" s="1" t="s">
        <v>24</v>
      </c>
      <c r="H471" s="1" t="s">
        <v>25</v>
      </c>
      <c r="I471" s="1">
        <v>1</v>
      </c>
      <c r="J471" s="4">
        <v>62383000</v>
      </c>
      <c r="K471" s="4">
        <v>52037000</v>
      </c>
      <c r="L471" s="4">
        <v>10346000</v>
      </c>
      <c r="M471" s="1" t="s">
        <v>20</v>
      </c>
    </row>
    <row r="472" spans="1:13">
      <c r="A472" s="1" t="s">
        <v>713</v>
      </c>
      <c r="B472" s="3">
        <v>45703</v>
      </c>
      <c r="C472" s="1" t="s">
        <v>318</v>
      </c>
      <c r="D472" s="1" t="s">
        <v>23</v>
      </c>
      <c r="E472" s="1" t="s">
        <v>16</v>
      </c>
      <c r="F472" s="1" t="s">
        <v>17</v>
      </c>
      <c r="G472" s="1" t="s">
        <v>24</v>
      </c>
      <c r="H472" s="1" t="s">
        <v>110</v>
      </c>
      <c r="I472" s="1">
        <v>1</v>
      </c>
      <c r="J472" s="4">
        <v>17008000</v>
      </c>
      <c r="K472" s="4">
        <v>14332000</v>
      </c>
      <c r="L472" s="4">
        <v>2676000</v>
      </c>
      <c r="M472" s="1" t="s">
        <v>69</v>
      </c>
    </row>
    <row r="473" spans="1:13">
      <c r="A473" s="1" t="s">
        <v>714</v>
      </c>
      <c r="B473" s="3">
        <v>46022</v>
      </c>
      <c r="C473" s="1" t="s">
        <v>676</v>
      </c>
      <c r="D473" s="1" t="s">
        <v>23</v>
      </c>
      <c r="E473" s="1" t="s">
        <v>64</v>
      </c>
      <c r="F473" s="1" t="s">
        <v>29</v>
      </c>
      <c r="G473" s="1" t="s">
        <v>24</v>
      </c>
      <c r="H473" s="1" t="s">
        <v>110</v>
      </c>
      <c r="I473" s="1">
        <v>1</v>
      </c>
      <c r="J473" s="4">
        <v>21181000</v>
      </c>
      <c r="K473" s="4">
        <v>18290000</v>
      </c>
      <c r="L473" s="4">
        <v>2891000</v>
      </c>
      <c r="M473" s="1" t="s">
        <v>20</v>
      </c>
    </row>
    <row r="474" spans="1:13">
      <c r="A474" s="1" t="s">
        <v>715</v>
      </c>
      <c r="B474" s="3">
        <v>45757</v>
      </c>
      <c r="C474" s="1" t="s">
        <v>224</v>
      </c>
      <c r="D474" s="1" t="s">
        <v>15</v>
      </c>
      <c r="E474" s="1" t="s">
        <v>16</v>
      </c>
      <c r="F474" s="1" t="s">
        <v>17</v>
      </c>
      <c r="G474" s="1" t="s">
        <v>18</v>
      </c>
      <c r="H474" s="1" t="s">
        <v>31</v>
      </c>
      <c r="I474" s="1">
        <v>1</v>
      </c>
      <c r="J474" s="4">
        <v>17462000</v>
      </c>
      <c r="K474" s="4">
        <v>14021000</v>
      </c>
      <c r="L474" s="4">
        <v>3441000</v>
      </c>
      <c r="M474" s="1" t="s">
        <v>20</v>
      </c>
    </row>
    <row r="475" spans="1:13">
      <c r="A475" s="1" t="s">
        <v>716</v>
      </c>
      <c r="B475" s="3">
        <v>45702</v>
      </c>
      <c r="C475" s="1" t="s">
        <v>394</v>
      </c>
      <c r="D475" s="1" t="s">
        <v>15</v>
      </c>
      <c r="E475" s="1" t="s">
        <v>64</v>
      </c>
      <c r="F475" s="1" t="s">
        <v>29</v>
      </c>
      <c r="G475" s="1" t="s">
        <v>18</v>
      </c>
      <c r="H475" s="1" t="s">
        <v>34</v>
      </c>
      <c r="I475" s="1">
        <v>1</v>
      </c>
      <c r="J475" s="4">
        <v>21810000</v>
      </c>
      <c r="K475" s="4">
        <v>18458000</v>
      </c>
      <c r="L475" s="4">
        <v>3352000</v>
      </c>
      <c r="M475" s="1" t="s">
        <v>20</v>
      </c>
    </row>
    <row r="476" spans="1:13">
      <c r="A476" s="1" t="s">
        <v>717</v>
      </c>
      <c r="B476" s="3">
        <v>45939</v>
      </c>
      <c r="C476" s="1" t="s">
        <v>280</v>
      </c>
      <c r="D476" s="1" t="s">
        <v>15</v>
      </c>
      <c r="E476" s="1" t="s">
        <v>54</v>
      </c>
      <c r="F476" s="1" t="s">
        <v>17</v>
      </c>
      <c r="G476" s="1" t="s">
        <v>30</v>
      </c>
      <c r="H476" s="1" t="s">
        <v>25</v>
      </c>
      <c r="I476" s="1">
        <v>2</v>
      </c>
      <c r="J476" s="4">
        <v>56159000</v>
      </c>
      <c r="K476" s="4">
        <v>48550000</v>
      </c>
      <c r="L476" s="4">
        <v>7609000</v>
      </c>
      <c r="M476" s="1" t="s">
        <v>20</v>
      </c>
    </row>
    <row r="477" spans="1:13">
      <c r="A477" s="1" t="s">
        <v>718</v>
      </c>
      <c r="B477" s="3">
        <v>45864</v>
      </c>
      <c r="C477" s="1" t="s">
        <v>338</v>
      </c>
      <c r="D477" s="1" t="s">
        <v>23</v>
      </c>
      <c r="E477" s="1" t="s">
        <v>57</v>
      </c>
      <c r="F477" s="1" t="s">
        <v>29</v>
      </c>
      <c r="G477" s="1" t="s">
        <v>18</v>
      </c>
      <c r="H477" s="1" t="s">
        <v>19</v>
      </c>
      <c r="I477" s="1">
        <v>1</v>
      </c>
      <c r="J477" s="4">
        <v>41015000</v>
      </c>
      <c r="K477" s="4">
        <v>33982000</v>
      </c>
      <c r="L477" s="4">
        <v>7033000</v>
      </c>
      <c r="M477" s="1" t="s">
        <v>20</v>
      </c>
    </row>
    <row r="478" spans="1:13">
      <c r="A478" s="1" t="s">
        <v>719</v>
      </c>
      <c r="B478" s="3">
        <v>45789</v>
      </c>
      <c r="C478" s="1" t="s">
        <v>291</v>
      </c>
      <c r="D478" s="1" t="s">
        <v>15</v>
      </c>
      <c r="E478" s="1" t="s">
        <v>64</v>
      </c>
      <c r="F478" s="1" t="s">
        <v>29</v>
      </c>
      <c r="G478" s="1" t="s">
        <v>30</v>
      </c>
      <c r="H478" s="1" t="s">
        <v>110</v>
      </c>
      <c r="I478" s="1">
        <v>1</v>
      </c>
      <c r="J478" s="4">
        <v>22665000</v>
      </c>
      <c r="K478" s="4">
        <v>19153000</v>
      </c>
      <c r="L478" s="4">
        <v>3512000</v>
      </c>
      <c r="M478" s="1" t="s">
        <v>20</v>
      </c>
    </row>
    <row r="479" spans="1:13">
      <c r="A479" s="1" t="s">
        <v>720</v>
      </c>
      <c r="B479" s="3">
        <v>45892</v>
      </c>
      <c r="C479" s="1" t="s">
        <v>254</v>
      </c>
      <c r="D479" s="1" t="s">
        <v>15</v>
      </c>
      <c r="E479" s="1" t="s">
        <v>60</v>
      </c>
      <c r="F479" s="1" t="s">
        <v>61</v>
      </c>
      <c r="G479" s="1" t="s">
        <v>30</v>
      </c>
      <c r="H479" s="1" t="s">
        <v>37</v>
      </c>
      <c r="I479" s="1">
        <v>2</v>
      </c>
      <c r="J479" s="4">
        <v>122324000</v>
      </c>
      <c r="K479" s="4">
        <v>98554000</v>
      </c>
      <c r="L479" s="4">
        <v>23770000</v>
      </c>
      <c r="M479" s="1" t="s">
        <v>20</v>
      </c>
    </row>
    <row r="480" spans="1:13">
      <c r="A480" s="1" t="s">
        <v>721</v>
      </c>
      <c r="B480" s="3">
        <v>46017</v>
      </c>
      <c r="C480" s="1" t="s">
        <v>649</v>
      </c>
      <c r="D480" s="1" t="s">
        <v>23</v>
      </c>
      <c r="E480" s="1" t="s">
        <v>54</v>
      </c>
      <c r="F480" s="1" t="s">
        <v>17</v>
      </c>
      <c r="G480" s="1" t="s">
        <v>41</v>
      </c>
      <c r="H480" s="1" t="s">
        <v>34</v>
      </c>
      <c r="I480" s="1">
        <v>2</v>
      </c>
      <c r="J480" s="4">
        <v>57407000</v>
      </c>
      <c r="K480" s="4">
        <v>44125000</v>
      </c>
      <c r="L480" s="4">
        <v>13282000</v>
      </c>
      <c r="M480" s="1" t="s">
        <v>20</v>
      </c>
    </row>
    <row r="481" spans="1:13">
      <c r="A481" s="1" t="s">
        <v>722</v>
      </c>
      <c r="B481" s="3">
        <v>45862</v>
      </c>
      <c r="C481" s="1" t="s">
        <v>163</v>
      </c>
      <c r="D481" s="1" t="s">
        <v>15</v>
      </c>
      <c r="E481" s="1" t="s">
        <v>60</v>
      </c>
      <c r="F481" s="1" t="s">
        <v>61</v>
      </c>
      <c r="G481" s="1" t="s">
        <v>24</v>
      </c>
      <c r="H481" s="1" t="s">
        <v>110</v>
      </c>
      <c r="I481" s="1">
        <v>1</v>
      </c>
      <c r="J481" s="4">
        <v>64726000</v>
      </c>
      <c r="K481" s="4">
        <v>50382000</v>
      </c>
      <c r="L481" s="4">
        <v>14344000</v>
      </c>
      <c r="M481" s="1" t="s">
        <v>20</v>
      </c>
    </row>
    <row r="482" spans="1:13">
      <c r="A482" s="1" t="s">
        <v>723</v>
      </c>
      <c r="B482" s="3">
        <v>45751</v>
      </c>
      <c r="C482" s="1" t="s">
        <v>312</v>
      </c>
      <c r="D482" s="1" t="s">
        <v>15</v>
      </c>
      <c r="E482" s="1" t="s">
        <v>64</v>
      </c>
      <c r="F482" s="1" t="s">
        <v>29</v>
      </c>
      <c r="G482" s="1" t="s">
        <v>41</v>
      </c>
      <c r="H482" s="1" t="s">
        <v>31</v>
      </c>
      <c r="I482" s="1">
        <v>2</v>
      </c>
      <c r="J482" s="4">
        <v>44214000</v>
      </c>
      <c r="K482" s="4">
        <v>35501000</v>
      </c>
      <c r="L482" s="4">
        <v>8713000</v>
      </c>
      <c r="M482" s="1" t="s">
        <v>20</v>
      </c>
    </row>
    <row r="483" spans="1:13">
      <c r="A483" s="1" t="s">
        <v>724</v>
      </c>
      <c r="B483" s="3">
        <v>45775</v>
      </c>
      <c r="C483" s="1" t="s">
        <v>127</v>
      </c>
      <c r="D483" s="1" t="s">
        <v>23</v>
      </c>
      <c r="E483" s="1" t="s">
        <v>54</v>
      </c>
      <c r="F483" s="1" t="s">
        <v>17</v>
      </c>
      <c r="G483" s="1" t="s">
        <v>49</v>
      </c>
      <c r="H483" s="1" t="s">
        <v>19</v>
      </c>
      <c r="I483" s="1">
        <v>1</v>
      </c>
      <c r="J483" s="4">
        <v>27368000</v>
      </c>
      <c r="K483" s="4">
        <v>22288000</v>
      </c>
      <c r="L483" s="4">
        <v>5080000</v>
      </c>
      <c r="M483" s="1" t="s">
        <v>20</v>
      </c>
    </row>
    <row r="484" spans="1:13">
      <c r="A484" s="1" t="s">
        <v>725</v>
      </c>
      <c r="B484" s="3">
        <v>45661</v>
      </c>
      <c r="C484" s="1" t="s">
        <v>389</v>
      </c>
      <c r="D484" s="1" t="s">
        <v>23</v>
      </c>
      <c r="E484" s="1" t="s">
        <v>40</v>
      </c>
      <c r="F484" s="1" t="s">
        <v>29</v>
      </c>
      <c r="G484" s="1" t="s">
        <v>24</v>
      </c>
      <c r="H484" s="1" t="s">
        <v>110</v>
      </c>
      <c r="I484" s="1">
        <v>1</v>
      </c>
      <c r="J484" s="4">
        <v>24065000</v>
      </c>
      <c r="K484" s="4">
        <v>20039000</v>
      </c>
      <c r="L484" s="4">
        <v>4026000</v>
      </c>
      <c r="M484" s="1" t="s">
        <v>20</v>
      </c>
    </row>
    <row r="485" spans="1:13">
      <c r="A485" s="1" t="s">
        <v>726</v>
      </c>
      <c r="B485" s="3">
        <v>45909</v>
      </c>
      <c r="C485" s="1" t="s">
        <v>257</v>
      </c>
      <c r="D485" s="1" t="s">
        <v>15</v>
      </c>
      <c r="E485" s="1" t="s">
        <v>16</v>
      </c>
      <c r="F485" s="1" t="s">
        <v>17</v>
      </c>
      <c r="G485" s="1" t="s">
        <v>49</v>
      </c>
      <c r="H485" s="1" t="s">
        <v>25</v>
      </c>
      <c r="I485" s="1">
        <v>1</v>
      </c>
      <c r="J485" s="4">
        <v>17851000</v>
      </c>
      <c r="K485" s="4">
        <v>14863000</v>
      </c>
      <c r="L485" s="4">
        <v>2988000</v>
      </c>
      <c r="M485" s="1" t="s">
        <v>20</v>
      </c>
    </row>
    <row r="486" spans="1:13">
      <c r="A486" s="1" t="s">
        <v>727</v>
      </c>
      <c r="B486" s="3">
        <v>45934</v>
      </c>
      <c r="C486" s="1" t="s">
        <v>587</v>
      </c>
      <c r="D486" s="1" t="s">
        <v>23</v>
      </c>
      <c r="E486" s="1" t="s">
        <v>16</v>
      </c>
      <c r="F486" s="1" t="s">
        <v>17</v>
      </c>
      <c r="G486" s="1" t="s">
        <v>49</v>
      </c>
      <c r="H486" s="1" t="s">
        <v>110</v>
      </c>
      <c r="I486" s="1">
        <v>2</v>
      </c>
      <c r="J486" s="4">
        <v>37471000</v>
      </c>
      <c r="K486" s="4">
        <v>28876000</v>
      </c>
      <c r="L486" s="4">
        <v>8595000</v>
      </c>
      <c r="M486" s="1" t="s">
        <v>20</v>
      </c>
    </row>
    <row r="487" spans="1:13">
      <c r="A487" s="1" t="s">
        <v>728</v>
      </c>
      <c r="B487" s="3">
        <v>46010</v>
      </c>
      <c r="C487" s="1" t="s">
        <v>91</v>
      </c>
      <c r="D487" s="1" t="s">
        <v>15</v>
      </c>
      <c r="E487" s="1" t="s">
        <v>16</v>
      </c>
      <c r="F487" s="1" t="s">
        <v>17</v>
      </c>
      <c r="G487" s="1" t="s">
        <v>24</v>
      </c>
      <c r="H487" s="1" t="s">
        <v>110</v>
      </c>
      <c r="I487" s="1">
        <v>1</v>
      </c>
      <c r="J487" s="4">
        <v>17156000</v>
      </c>
      <c r="K487" s="4">
        <v>14299000</v>
      </c>
      <c r="L487" s="4">
        <v>2857000</v>
      </c>
      <c r="M487" s="1" t="s">
        <v>20</v>
      </c>
    </row>
    <row r="488" spans="1:13">
      <c r="A488" s="1" t="s">
        <v>729</v>
      </c>
      <c r="B488" s="3">
        <v>45779</v>
      </c>
      <c r="C488" s="1" t="s">
        <v>730</v>
      </c>
      <c r="D488" s="1" t="s">
        <v>15</v>
      </c>
      <c r="E488" s="1" t="s">
        <v>54</v>
      </c>
      <c r="F488" s="1" t="s">
        <v>17</v>
      </c>
      <c r="G488" s="1" t="s">
        <v>41</v>
      </c>
      <c r="H488" s="1" t="s">
        <v>110</v>
      </c>
      <c r="I488" s="1">
        <v>1</v>
      </c>
      <c r="J488" s="4">
        <v>27471000</v>
      </c>
      <c r="K488" s="4">
        <v>23024000</v>
      </c>
      <c r="L488" s="4">
        <v>4447000</v>
      </c>
      <c r="M488" s="1" t="s">
        <v>20</v>
      </c>
    </row>
    <row r="489" spans="1:13">
      <c r="A489" s="1" t="s">
        <v>731</v>
      </c>
      <c r="B489" s="3">
        <v>45863</v>
      </c>
      <c r="C489" s="1" t="s">
        <v>444</v>
      </c>
      <c r="D489" s="1" t="s">
        <v>23</v>
      </c>
      <c r="E489" s="1" t="s">
        <v>54</v>
      </c>
      <c r="F489" s="1" t="s">
        <v>17</v>
      </c>
      <c r="G489" s="1" t="s">
        <v>30</v>
      </c>
      <c r="H489" s="1" t="s">
        <v>19</v>
      </c>
      <c r="I489" s="1">
        <v>1</v>
      </c>
      <c r="J489" s="4">
        <v>28924000</v>
      </c>
      <c r="K489" s="4">
        <v>22570000</v>
      </c>
      <c r="L489" s="4">
        <v>6354000</v>
      </c>
      <c r="M489" s="1" t="s">
        <v>20</v>
      </c>
    </row>
    <row r="490" spans="1:13">
      <c r="A490" s="1" t="s">
        <v>732</v>
      </c>
      <c r="B490" s="3">
        <v>45879</v>
      </c>
      <c r="C490" s="1" t="s">
        <v>456</v>
      </c>
      <c r="D490" s="1" t="s">
        <v>23</v>
      </c>
      <c r="E490" s="1" t="s">
        <v>64</v>
      </c>
      <c r="F490" s="1" t="s">
        <v>29</v>
      </c>
      <c r="G490" s="1" t="s">
        <v>49</v>
      </c>
      <c r="H490" s="1" t="s">
        <v>31</v>
      </c>
      <c r="I490" s="1">
        <v>1</v>
      </c>
      <c r="J490" s="4">
        <v>22792000</v>
      </c>
      <c r="K490" s="4">
        <v>18251000</v>
      </c>
      <c r="L490" s="4">
        <v>4541000</v>
      </c>
      <c r="M490" s="1" t="s">
        <v>20</v>
      </c>
    </row>
    <row r="491" spans="1:13">
      <c r="A491" s="1" t="s">
        <v>733</v>
      </c>
      <c r="B491" s="3">
        <v>45980</v>
      </c>
      <c r="C491" s="1" t="s">
        <v>95</v>
      </c>
      <c r="D491" s="1" t="s">
        <v>15</v>
      </c>
      <c r="E491" s="1" t="s">
        <v>28</v>
      </c>
      <c r="F491" s="1" t="s">
        <v>29</v>
      </c>
      <c r="G491" s="1" t="s">
        <v>18</v>
      </c>
      <c r="H491" s="1" t="s">
        <v>37</v>
      </c>
      <c r="I491" s="1">
        <v>1</v>
      </c>
      <c r="J491" s="4">
        <v>41745000</v>
      </c>
      <c r="K491" s="4">
        <v>43770000</v>
      </c>
      <c r="L491" s="4">
        <v>-2025000</v>
      </c>
      <c r="M491" s="1" t="s">
        <v>20</v>
      </c>
    </row>
    <row r="492" spans="1:13">
      <c r="A492" s="1" t="s">
        <v>734</v>
      </c>
      <c r="B492" s="3">
        <v>45741</v>
      </c>
      <c r="C492" s="1" t="s">
        <v>465</v>
      </c>
      <c r="D492" s="1" t="s">
        <v>15</v>
      </c>
      <c r="E492" s="1" t="s">
        <v>16</v>
      </c>
      <c r="F492" s="1" t="s">
        <v>17</v>
      </c>
      <c r="G492" s="1" t="s">
        <v>41</v>
      </c>
      <c r="H492" s="1" t="s">
        <v>19</v>
      </c>
      <c r="I492" s="1">
        <v>1</v>
      </c>
      <c r="J492" s="4">
        <v>18394000</v>
      </c>
      <c r="K492" s="4">
        <v>14427000</v>
      </c>
      <c r="L492" s="4">
        <v>3967000</v>
      </c>
      <c r="M492" s="1" t="s">
        <v>20</v>
      </c>
    </row>
    <row r="493" spans="1:13">
      <c r="A493" s="1" t="s">
        <v>735</v>
      </c>
      <c r="B493" s="3">
        <v>45943</v>
      </c>
      <c r="C493" s="1" t="s">
        <v>132</v>
      </c>
      <c r="D493" s="1" t="s">
        <v>23</v>
      </c>
      <c r="E493" s="1" t="s">
        <v>64</v>
      </c>
      <c r="F493" s="1" t="s">
        <v>29</v>
      </c>
      <c r="G493" s="1" t="s">
        <v>24</v>
      </c>
      <c r="H493" s="1" t="s">
        <v>19</v>
      </c>
      <c r="I493" s="1">
        <v>1</v>
      </c>
      <c r="J493" s="4">
        <v>21027000</v>
      </c>
      <c r="K493" s="4">
        <v>18972000</v>
      </c>
      <c r="L493" s="4">
        <v>2055000</v>
      </c>
      <c r="M493" s="1" t="s">
        <v>69</v>
      </c>
    </row>
    <row r="494" spans="1:13">
      <c r="A494" s="1" t="s">
        <v>736</v>
      </c>
      <c r="B494" s="3">
        <v>45990</v>
      </c>
      <c r="C494" s="1" t="s">
        <v>394</v>
      </c>
      <c r="D494" s="1" t="s">
        <v>23</v>
      </c>
      <c r="E494" s="1" t="s">
        <v>60</v>
      </c>
      <c r="F494" s="1" t="s">
        <v>61</v>
      </c>
      <c r="G494" s="1" t="s">
        <v>49</v>
      </c>
      <c r="H494" s="1" t="s">
        <v>34</v>
      </c>
      <c r="I494" s="1">
        <v>1</v>
      </c>
      <c r="J494" s="4">
        <v>49328000</v>
      </c>
      <c r="K494" s="4">
        <v>51375000</v>
      </c>
      <c r="L494" s="4">
        <v>-2047000</v>
      </c>
      <c r="M494" s="1" t="s">
        <v>20</v>
      </c>
    </row>
    <row r="495" spans="1:13">
      <c r="A495" s="1" t="s">
        <v>737</v>
      </c>
      <c r="B495" s="3">
        <v>45853</v>
      </c>
      <c r="C495" s="1" t="s">
        <v>456</v>
      </c>
      <c r="D495" s="1" t="s">
        <v>23</v>
      </c>
      <c r="E495" s="1" t="s">
        <v>57</v>
      </c>
      <c r="F495" s="1" t="s">
        <v>29</v>
      </c>
      <c r="G495" s="1" t="s">
        <v>24</v>
      </c>
      <c r="H495" s="1" t="s">
        <v>19</v>
      </c>
      <c r="I495" s="1">
        <v>2</v>
      </c>
      <c r="J495" s="4">
        <v>90547000</v>
      </c>
      <c r="K495" s="4">
        <v>71998000</v>
      </c>
      <c r="L495" s="4">
        <v>18549000</v>
      </c>
      <c r="M495" s="1" t="s">
        <v>20</v>
      </c>
    </row>
    <row r="496" spans="1:13">
      <c r="A496" s="1" t="s">
        <v>738</v>
      </c>
      <c r="B496" s="3">
        <v>45865</v>
      </c>
      <c r="C496" s="1" t="s">
        <v>494</v>
      </c>
      <c r="D496" s="1" t="s">
        <v>23</v>
      </c>
      <c r="E496" s="1" t="s">
        <v>40</v>
      </c>
      <c r="F496" s="1" t="s">
        <v>29</v>
      </c>
      <c r="G496" s="1" t="s">
        <v>24</v>
      </c>
      <c r="H496" s="1" t="s">
        <v>37</v>
      </c>
      <c r="I496" s="1">
        <v>1</v>
      </c>
      <c r="J496" s="4">
        <v>23272000</v>
      </c>
      <c r="K496" s="4">
        <v>19437000</v>
      </c>
      <c r="L496" s="4">
        <v>3835000</v>
      </c>
      <c r="M496" s="1" t="s">
        <v>20</v>
      </c>
    </row>
    <row r="497" spans="1:13">
      <c r="A497" s="1" t="s">
        <v>739</v>
      </c>
      <c r="B497" s="3">
        <v>45860</v>
      </c>
      <c r="C497" s="1" t="s">
        <v>349</v>
      </c>
      <c r="D497" s="1" t="s">
        <v>23</v>
      </c>
      <c r="E497" s="1" t="s">
        <v>54</v>
      </c>
      <c r="F497" s="1" t="s">
        <v>17</v>
      </c>
      <c r="G497" s="1" t="s">
        <v>30</v>
      </c>
      <c r="H497" s="1" t="s">
        <v>31</v>
      </c>
      <c r="I497" s="1">
        <v>2</v>
      </c>
      <c r="J497" s="4">
        <v>56271000</v>
      </c>
      <c r="K497" s="4">
        <v>46803000</v>
      </c>
      <c r="L497" s="4">
        <v>9468000</v>
      </c>
      <c r="M497" s="1" t="s">
        <v>69</v>
      </c>
    </row>
    <row r="498" spans="1:13">
      <c r="A498" s="1" t="s">
        <v>740</v>
      </c>
      <c r="B498" s="3">
        <v>45669</v>
      </c>
      <c r="C498" s="1" t="s">
        <v>95</v>
      </c>
      <c r="D498" s="1" t="s">
        <v>23</v>
      </c>
      <c r="E498" s="1" t="s">
        <v>16</v>
      </c>
      <c r="F498" s="1" t="s">
        <v>17</v>
      </c>
      <c r="G498" s="1" t="s">
        <v>18</v>
      </c>
      <c r="H498" s="1" t="s">
        <v>34</v>
      </c>
      <c r="I498" s="1">
        <v>1</v>
      </c>
      <c r="J498" s="4">
        <v>18661000</v>
      </c>
      <c r="K498" s="4">
        <v>14862000</v>
      </c>
      <c r="L498" s="4">
        <v>3799000</v>
      </c>
      <c r="M498" s="1" t="s">
        <v>20</v>
      </c>
    </row>
    <row r="499" spans="1:13">
      <c r="A499" s="1" t="s">
        <v>741</v>
      </c>
      <c r="B499" s="3">
        <v>45690</v>
      </c>
      <c r="C499" s="1" t="s">
        <v>566</v>
      </c>
      <c r="D499" s="1" t="s">
        <v>23</v>
      </c>
      <c r="E499" s="1" t="s">
        <v>64</v>
      </c>
      <c r="F499" s="1" t="s">
        <v>29</v>
      </c>
      <c r="G499" s="1" t="s">
        <v>41</v>
      </c>
      <c r="H499" s="1" t="s">
        <v>19</v>
      </c>
      <c r="I499" s="1">
        <v>1</v>
      </c>
      <c r="J499" s="4">
        <v>22885000</v>
      </c>
      <c r="K499" s="4">
        <v>18344000</v>
      </c>
      <c r="L499" s="4">
        <v>4541000</v>
      </c>
      <c r="M499" s="1" t="s">
        <v>69</v>
      </c>
    </row>
    <row r="500" spans="1:13">
      <c r="A500" s="1" t="s">
        <v>742</v>
      </c>
      <c r="B500" s="3">
        <v>45737</v>
      </c>
      <c r="C500" s="1" t="s">
        <v>252</v>
      </c>
      <c r="D500" s="1" t="s">
        <v>15</v>
      </c>
      <c r="E500" s="1" t="s">
        <v>16</v>
      </c>
      <c r="F500" s="1" t="s">
        <v>17</v>
      </c>
      <c r="G500" s="1" t="s">
        <v>30</v>
      </c>
      <c r="H500" s="1" t="s">
        <v>19</v>
      </c>
      <c r="I500" s="1">
        <v>1</v>
      </c>
      <c r="J500" s="4">
        <v>17457000</v>
      </c>
      <c r="K500" s="4">
        <v>14845000</v>
      </c>
      <c r="L500" s="4">
        <v>2612000</v>
      </c>
      <c r="M500" s="1" t="s">
        <v>20</v>
      </c>
    </row>
    <row r="501" spans="1:13">
      <c r="A501" s="1" t="s">
        <v>743</v>
      </c>
      <c r="B501" s="3">
        <v>45745</v>
      </c>
      <c r="C501" s="1" t="s">
        <v>192</v>
      </c>
      <c r="D501" s="1" t="s">
        <v>15</v>
      </c>
      <c r="E501" s="1" t="s">
        <v>16</v>
      </c>
      <c r="F501" s="1" t="s">
        <v>17</v>
      </c>
      <c r="G501" s="1" t="s">
        <v>41</v>
      </c>
      <c r="H501" s="1" t="s">
        <v>19</v>
      </c>
      <c r="I501" s="1">
        <v>2</v>
      </c>
      <c r="J501" s="4">
        <v>35362000</v>
      </c>
      <c r="K501" s="4">
        <v>28931000</v>
      </c>
      <c r="L501" s="4">
        <v>6431000</v>
      </c>
      <c r="M501" s="1"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1"/>
  <sheetViews>
    <sheetView workbookViewId="0">
      <selection activeCell="J8" sqref="J8"/>
    </sheetView>
  </sheetViews>
  <sheetFormatPr defaultColWidth="18.140625" defaultRowHeight="15"/>
  <cols>
    <col min="1" max="1" width="16.85546875" style="1" customWidth="1"/>
    <col min="2" max="4" width="18.140625" style="1"/>
    <col min="5" max="5" width="19.140625" style="1" customWidth="1"/>
    <col min="6" max="16384" width="18.140625" style="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s="1" t="s">
        <v>13</v>
      </c>
      <c r="B2" s="3">
        <v>45985</v>
      </c>
      <c r="C2" s="1" t="s">
        <v>14</v>
      </c>
      <c r="D2" s="1" t="s">
        <v>15</v>
      </c>
      <c r="E2" s="1" t="s">
        <v>16</v>
      </c>
      <c r="F2" s="1" t="s">
        <v>17</v>
      </c>
      <c r="G2" s="1" t="s">
        <v>18</v>
      </c>
      <c r="H2" s="1" t="s">
        <v>19</v>
      </c>
      <c r="I2" s="1">
        <v>1</v>
      </c>
      <c r="J2" s="4">
        <v>14142000</v>
      </c>
      <c r="K2" s="4">
        <v>13924000</v>
      </c>
      <c r="L2" s="4">
        <v>218000</v>
      </c>
      <c r="M2" s="1" t="s">
        <v>20</v>
      </c>
    </row>
    <row r="3" spans="1:13">
      <c r="A3" s="1" t="s">
        <v>21</v>
      </c>
      <c r="B3" s="3">
        <v>45874</v>
      </c>
      <c r="C3" s="1" t="s">
        <v>22</v>
      </c>
      <c r="D3" s="1" t="s">
        <v>23</v>
      </c>
      <c r="E3" s="1" t="s">
        <v>16</v>
      </c>
      <c r="F3" s="1" t="s">
        <v>17</v>
      </c>
      <c r="G3" s="1" t="s">
        <v>24</v>
      </c>
      <c r="H3" s="1" t="s">
        <v>25</v>
      </c>
      <c r="I3" s="1">
        <v>1</v>
      </c>
      <c r="J3" s="4">
        <v>18329000</v>
      </c>
      <c r="K3" s="4">
        <v>14589000</v>
      </c>
      <c r="L3" s="4">
        <v>3740000</v>
      </c>
      <c r="M3" s="1" t="s">
        <v>20</v>
      </c>
    </row>
    <row r="4" spans="1:13">
      <c r="A4" s="1" t="s">
        <v>26</v>
      </c>
      <c r="B4" s="3">
        <v>45770</v>
      </c>
      <c r="C4" s="1" t="s">
        <v>27</v>
      </c>
      <c r="D4" s="1" t="s">
        <v>23</v>
      </c>
      <c r="E4" s="1" t="s">
        <v>28</v>
      </c>
      <c r="F4" s="1" t="s">
        <v>29</v>
      </c>
      <c r="G4" s="1" t="s">
        <v>30</v>
      </c>
      <c r="H4" s="1" t="s">
        <v>31</v>
      </c>
      <c r="I4" s="1">
        <v>2</v>
      </c>
      <c r="J4" s="4">
        <v>108019000</v>
      </c>
      <c r="K4" s="4">
        <v>84039000</v>
      </c>
      <c r="L4" s="4">
        <v>23980000</v>
      </c>
      <c r="M4" s="1" t="s">
        <v>20</v>
      </c>
    </row>
    <row r="5" spans="1:13">
      <c r="A5" s="1" t="s">
        <v>32</v>
      </c>
      <c r="B5" s="3">
        <v>45830</v>
      </c>
      <c r="C5" s="1" t="s">
        <v>33</v>
      </c>
      <c r="D5" s="1" t="s">
        <v>23</v>
      </c>
      <c r="E5" s="1" t="s">
        <v>16</v>
      </c>
      <c r="F5" s="1" t="s">
        <v>17</v>
      </c>
      <c r="G5" s="1" t="s">
        <v>24</v>
      </c>
      <c r="H5" s="1" t="s">
        <v>34</v>
      </c>
      <c r="I5" s="1">
        <v>1</v>
      </c>
      <c r="J5" s="4">
        <v>12762000</v>
      </c>
      <c r="K5" s="4">
        <v>14159000</v>
      </c>
      <c r="L5" s="4">
        <v>-1397000</v>
      </c>
      <c r="M5" s="1" t="s">
        <v>20</v>
      </c>
    </row>
    <row r="6" spans="1:13">
      <c r="A6" s="1" t="s">
        <v>35</v>
      </c>
      <c r="B6" s="3">
        <v>45851</v>
      </c>
      <c r="C6" s="1" t="s">
        <v>36</v>
      </c>
      <c r="D6" s="1" t="s">
        <v>23</v>
      </c>
      <c r="E6" s="1" t="s">
        <v>16</v>
      </c>
      <c r="F6" s="1" t="s">
        <v>17</v>
      </c>
      <c r="G6" s="1" t="s">
        <v>18</v>
      </c>
      <c r="H6" s="1" t="s">
        <v>37</v>
      </c>
      <c r="I6" s="1">
        <v>1</v>
      </c>
      <c r="J6" s="4">
        <v>18992000</v>
      </c>
      <c r="K6" s="4">
        <v>14299000</v>
      </c>
      <c r="L6" s="4">
        <v>4693000</v>
      </c>
      <c r="M6" s="1" t="s">
        <v>20</v>
      </c>
    </row>
    <row r="7" spans="1:13">
      <c r="A7" s="1" t="s">
        <v>38</v>
      </c>
      <c r="B7" s="3">
        <v>45774</v>
      </c>
      <c r="C7" s="1" t="s">
        <v>39</v>
      </c>
      <c r="D7" s="1" t="s">
        <v>15</v>
      </c>
      <c r="E7" s="1" t="s">
        <v>40</v>
      </c>
      <c r="F7" s="1" t="s">
        <v>29</v>
      </c>
      <c r="G7" s="1" t="s">
        <v>41</v>
      </c>
      <c r="H7" s="1" t="s">
        <v>31</v>
      </c>
      <c r="I7" s="1">
        <v>2</v>
      </c>
      <c r="J7" s="4">
        <v>50527000</v>
      </c>
      <c r="K7" s="4">
        <v>39125000</v>
      </c>
      <c r="L7" s="4">
        <v>11402000</v>
      </c>
      <c r="M7" s="1" t="s">
        <v>20</v>
      </c>
    </row>
    <row r="8" spans="1:13">
      <c r="A8" s="1" t="s">
        <v>42</v>
      </c>
      <c r="B8" s="3">
        <v>45847</v>
      </c>
      <c r="C8" s="1" t="s">
        <v>43</v>
      </c>
      <c r="D8" s="1" t="s">
        <v>15</v>
      </c>
      <c r="E8" s="1" t="s">
        <v>44</v>
      </c>
      <c r="F8" s="1" t="s">
        <v>17</v>
      </c>
      <c r="G8" s="1" t="s">
        <v>30</v>
      </c>
      <c r="H8" s="1" t="s">
        <v>31</v>
      </c>
      <c r="I8" s="1">
        <v>1</v>
      </c>
      <c r="J8" s="4">
        <v>27265000</v>
      </c>
      <c r="K8" s="4">
        <v>20866000</v>
      </c>
      <c r="L8" s="4">
        <v>6399000</v>
      </c>
      <c r="M8" s="1" t="s">
        <v>20</v>
      </c>
    </row>
    <row r="9" spans="1:13">
      <c r="A9" s="1" t="s">
        <v>45</v>
      </c>
      <c r="B9" s="3">
        <v>45894</v>
      </c>
      <c r="C9" s="1" t="s">
        <v>46</v>
      </c>
      <c r="D9" s="1" t="s">
        <v>15</v>
      </c>
      <c r="E9" s="1" t="s">
        <v>44</v>
      </c>
      <c r="F9" s="1" t="s">
        <v>17</v>
      </c>
      <c r="G9" s="1" t="s">
        <v>18</v>
      </c>
      <c r="H9" s="1" t="s">
        <v>31</v>
      </c>
      <c r="I9" s="1">
        <v>1</v>
      </c>
      <c r="J9" s="4">
        <v>26829000</v>
      </c>
      <c r="K9" s="4">
        <v>22202000</v>
      </c>
      <c r="L9" s="4">
        <v>4627000</v>
      </c>
      <c r="M9" s="1" t="s">
        <v>20</v>
      </c>
    </row>
    <row r="10" spans="1:13">
      <c r="A10" s="1" t="s">
        <v>47</v>
      </c>
      <c r="B10" s="3">
        <v>45674</v>
      </c>
      <c r="C10" s="1" t="s">
        <v>48</v>
      </c>
      <c r="D10" s="1" t="s">
        <v>23</v>
      </c>
      <c r="E10" s="1" t="s">
        <v>40</v>
      </c>
      <c r="F10" s="1" t="s">
        <v>29</v>
      </c>
      <c r="G10" s="1" t="s">
        <v>49</v>
      </c>
      <c r="H10" s="1" t="s">
        <v>25</v>
      </c>
      <c r="I10" s="1">
        <v>1</v>
      </c>
      <c r="J10" s="4">
        <v>25409000</v>
      </c>
      <c r="K10" s="4">
        <v>19933000</v>
      </c>
      <c r="L10" s="4">
        <v>5476000</v>
      </c>
      <c r="M10" s="1" t="s">
        <v>20</v>
      </c>
    </row>
    <row r="11" spans="1:13">
      <c r="A11" s="1" t="s">
        <v>50</v>
      </c>
      <c r="B11" s="3">
        <v>45987</v>
      </c>
      <c r="C11" s="1" t="s">
        <v>51</v>
      </c>
      <c r="D11" s="1" t="s">
        <v>23</v>
      </c>
      <c r="E11" s="1" t="s">
        <v>28</v>
      </c>
      <c r="F11" s="1" t="s">
        <v>29</v>
      </c>
      <c r="G11" s="1" t="s">
        <v>24</v>
      </c>
      <c r="H11" s="1" t="s">
        <v>25</v>
      </c>
      <c r="I11" s="1">
        <v>1</v>
      </c>
      <c r="J11" s="4">
        <v>43193000</v>
      </c>
      <c r="K11" s="4">
        <v>42468000</v>
      </c>
      <c r="L11" s="4">
        <v>725000</v>
      </c>
      <c r="M11" s="1" t="s">
        <v>20</v>
      </c>
    </row>
    <row r="12" spans="1:13">
      <c r="A12" s="1" t="s">
        <v>52</v>
      </c>
      <c r="B12" s="3">
        <v>45843</v>
      </c>
      <c r="C12" s="1" t="s">
        <v>53</v>
      </c>
      <c r="D12" s="1" t="s">
        <v>15</v>
      </c>
      <c r="E12" s="1" t="s">
        <v>54</v>
      </c>
      <c r="F12" s="1" t="s">
        <v>17</v>
      </c>
      <c r="G12" s="1" t="s">
        <v>30</v>
      </c>
      <c r="H12" s="1" t="s">
        <v>37</v>
      </c>
      <c r="I12" s="1">
        <v>1</v>
      </c>
      <c r="J12" s="4">
        <v>27127000</v>
      </c>
      <c r="K12" s="4">
        <v>22149000</v>
      </c>
      <c r="L12" s="4">
        <v>4978000</v>
      </c>
      <c r="M12" s="1" t="s">
        <v>20</v>
      </c>
    </row>
    <row r="13" spans="1:13">
      <c r="A13" s="1" t="s">
        <v>55</v>
      </c>
      <c r="B13" s="3">
        <v>45874</v>
      </c>
      <c r="C13" s="1" t="s">
        <v>56</v>
      </c>
      <c r="D13" s="1" t="s">
        <v>23</v>
      </c>
      <c r="E13" s="1" t="s">
        <v>57</v>
      </c>
      <c r="F13" s="1" t="s">
        <v>29</v>
      </c>
      <c r="G13" s="1" t="s">
        <v>18</v>
      </c>
      <c r="H13" s="1" t="s">
        <v>37</v>
      </c>
      <c r="I13" s="1">
        <v>1</v>
      </c>
      <c r="J13" s="4">
        <v>43036000</v>
      </c>
      <c r="K13" s="4">
        <v>34618000</v>
      </c>
      <c r="L13" s="4">
        <v>8418000</v>
      </c>
      <c r="M13" s="1" t="s">
        <v>20</v>
      </c>
    </row>
    <row r="14" spans="1:13">
      <c r="A14" s="1" t="s">
        <v>58</v>
      </c>
      <c r="B14" s="3">
        <v>45716</v>
      </c>
      <c r="C14" s="1" t="s">
        <v>59</v>
      </c>
      <c r="D14" s="1" t="s">
        <v>23</v>
      </c>
      <c r="E14" s="1" t="s">
        <v>60</v>
      </c>
      <c r="F14" s="1" t="s">
        <v>61</v>
      </c>
      <c r="G14" s="1" t="s">
        <v>18</v>
      </c>
      <c r="H14" s="1" t="s">
        <v>37</v>
      </c>
      <c r="I14" s="1">
        <v>1</v>
      </c>
      <c r="J14" s="4">
        <v>62423000</v>
      </c>
      <c r="K14" s="4">
        <v>48538000</v>
      </c>
      <c r="L14" s="4">
        <v>13885000</v>
      </c>
      <c r="M14" s="1" t="s">
        <v>20</v>
      </c>
    </row>
    <row r="15" spans="1:13">
      <c r="A15" s="1" t="s">
        <v>62</v>
      </c>
      <c r="B15" s="3">
        <v>45792</v>
      </c>
      <c r="C15" s="1" t="s">
        <v>63</v>
      </c>
      <c r="D15" s="1" t="s">
        <v>15</v>
      </c>
      <c r="E15" s="1" t="s">
        <v>64</v>
      </c>
      <c r="F15" s="1" t="s">
        <v>29</v>
      </c>
      <c r="G15" s="1" t="s">
        <v>24</v>
      </c>
      <c r="H15" s="1" t="s">
        <v>31</v>
      </c>
      <c r="I15" s="1">
        <v>1</v>
      </c>
      <c r="J15" s="4">
        <v>20984000</v>
      </c>
      <c r="K15" s="4">
        <v>18529000</v>
      </c>
      <c r="L15" s="4">
        <v>2455000</v>
      </c>
      <c r="M15" s="1" t="s">
        <v>20</v>
      </c>
    </row>
    <row r="16" spans="1:13">
      <c r="A16" s="1" t="s">
        <v>65</v>
      </c>
      <c r="B16" s="3">
        <v>45736</v>
      </c>
      <c r="C16" s="1" t="s">
        <v>66</v>
      </c>
      <c r="D16" s="1" t="s">
        <v>23</v>
      </c>
      <c r="E16" s="1" t="s">
        <v>44</v>
      </c>
      <c r="F16" s="1" t="s">
        <v>17</v>
      </c>
      <c r="G16" s="1" t="s">
        <v>18</v>
      </c>
      <c r="H16" s="1" t="s">
        <v>34</v>
      </c>
      <c r="I16" s="1">
        <v>2</v>
      </c>
      <c r="J16" s="4">
        <v>56176000</v>
      </c>
      <c r="K16" s="4">
        <v>45425000</v>
      </c>
      <c r="L16" s="4">
        <v>10751000</v>
      </c>
      <c r="M16" s="1" t="s">
        <v>20</v>
      </c>
    </row>
    <row r="17" spans="1:13">
      <c r="A17" s="1" t="s">
        <v>67</v>
      </c>
      <c r="B17" s="3">
        <v>45843</v>
      </c>
      <c r="C17" s="1" t="s">
        <v>68</v>
      </c>
      <c r="D17" s="1" t="s">
        <v>15</v>
      </c>
      <c r="E17" s="1" t="s">
        <v>64</v>
      </c>
      <c r="F17" s="1" t="s">
        <v>29</v>
      </c>
      <c r="G17" s="1" t="s">
        <v>49</v>
      </c>
      <c r="H17" s="1" t="s">
        <v>34</v>
      </c>
      <c r="I17" s="1">
        <v>1</v>
      </c>
      <c r="J17" s="4">
        <v>20846000</v>
      </c>
      <c r="K17" s="4">
        <v>18992000</v>
      </c>
      <c r="L17" s="4">
        <v>1854000</v>
      </c>
      <c r="M17" s="1" t="s">
        <v>69</v>
      </c>
    </row>
    <row r="18" spans="1:13">
      <c r="A18" s="1" t="s">
        <v>70</v>
      </c>
      <c r="B18" s="3">
        <v>45930</v>
      </c>
      <c r="C18" s="1" t="s">
        <v>71</v>
      </c>
      <c r="D18" s="1" t="s">
        <v>23</v>
      </c>
      <c r="E18" s="1" t="s">
        <v>40</v>
      </c>
      <c r="F18" s="1" t="s">
        <v>29</v>
      </c>
      <c r="G18" s="1" t="s">
        <v>30</v>
      </c>
      <c r="H18" s="1" t="s">
        <v>19</v>
      </c>
      <c r="I18" s="1">
        <v>1</v>
      </c>
      <c r="J18" s="4">
        <v>24275000</v>
      </c>
      <c r="K18" s="4">
        <v>19335000</v>
      </c>
      <c r="L18" s="4">
        <v>4940000</v>
      </c>
      <c r="M18" s="1" t="s">
        <v>20</v>
      </c>
    </row>
    <row r="19" spans="1:13">
      <c r="A19" s="1" t="s">
        <v>72</v>
      </c>
      <c r="B19" s="3">
        <v>46011</v>
      </c>
      <c r="C19" s="1" t="s">
        <v>73</v>
      </c>
      <c r="D19" s="1" t="s">
        <v>23</v>
      </c>
      <c r="E19" s="1" t="s">
        <v>54</v>
      </c>
      <c r="F19" s="1" t="s">
        <v>17</v>
      </c>
      <c r="G19" s="1" t="s">
        <v>30</v>
      </c>
      <c r="H19" s="1" t="s">
        <v>31</v>
      </c>
      <c r="I19" s="1">
        <v>3</v>
      </c>
      <c r="J19" s="4">
        <v>87593000</v>
      </c>
      <c r="K19" s="4">
        <v>69169000</v>
      </c>
      <c r="L19" s="4">
        <v>18424000</v>
      </c>
      <c r="M19" s="1" t="s">
        <v>20</v>
      </c>
    </row>
    <row r="20" spans="1:13">
      <c r="A20" s="1" t="s">
        <v>74</v>
      </c>
      <c r="B20" s="3">
        <v>45690</v>
      </c>
      <c r="C20" s="1" t="s">
        <v>75</v>
      </c>
      <c r="D20" s="1" t="s">
        <v>15</v>
      </c>
      <c r="E20" s="1" t="s">
        <v>44</v>
      </c>
      <c r="F20" s="1" t="s">
        <v>17</v>
      </c>
      <c r="G20" s="1" t="s">
        <v>18</v>
      </c>
      <c r="H20" s="1" t="s">
        <v>34</v>
      </c>
      <c r="I20" s="1">
        <v>1</v>
      </c>
      <c r="J20" s="4">
        <v>25669000</v>
      </c>
      <c r="K20" s="4">
        <v>20865000</v>
      </c>
      <c r="L20" s="4">
        <v>4804000</v>
      </c>
      <c r="M20" s="1" t="s">
        <v>20</v>
      </c>
    </row>
    <row r="21" spans="1:13">
      <c r="A21" s="1" t="s">
        <v>76</v>
      </c>
      <c r="B21" s="3">
        <v>45827</v>
      </c>
      <c r="C21" s="1" t="s">
        <v>77</v>
      </c>
      <c r="D21" s="1" t="s">
        <v>23</v>
      </c>
      <c r="E21" s="1" t="s">
        <v>16</v>
      </c>
      <c r="F21" s="1" t="s">
        <v>17</v>
      </c>
      <c r="G21" s="1" t="s">
        <v>24</v>
      </c>
      <c r="H21" s="1" t="s">
        <v>25</v>
      </c>
      <c r="I21" s="1">
        <v>1</v>
      </c>
      <c r="J21" s="4">
        <v>12543000</v>
      </c>
      <c r="K21" s="4">
        <v>13967000</v>
      </c>
      <c r="L21" s="4">
        <v>-1424000</v>
      </c>
      <c r="M21" s="1" t="s">
        <v>20</v>
      </c>
    </row>
    <row r="22" spans="1:13">
      <c r="A22" s="1" t="s">
        <v>78</v>
      </c>
      <c r="B22" s="3">
        <v>45782</v>
      </c>
      <c r="C22" s="1" t="s">
        <v>79</v>
      </c>
      <c r="D22" s="1" t="s">
        <v>15</v>
      </c>
      <c r="E22" s="1" t="s">
        <v>40</v>
      </c>
      <c r="F22" s="1" t="s">
        <v>29</v>
      </c>
      <c r="G22" s="1" t="s">
        <v>18</v>
      </c>
      <c r="H22" s="1" t="s">
        <v>37</v>
      </c>
      <c r="I22" s="1">
        <v>1</v>
      </c>
      <c r="J22" s="4">
        <v>22862000</v>
      </c>
      <c r="K22" s="4">
        <v>19663000</v>
      </c>
      <c r="L22" s="4">
        <v>3199000</v>
      </c>
      <c r="M22" s="1" t="s">
        <v>20</v>
      </c>
    </row>
    <row r="23" spans="1:13">
      <c r="A23" s="1" t="s">
        <v>80</v>
      </c>
      <c r="B23" s="3">
        <v>45992</v>
      </c>
      <c r="C23" s="1" t="s">
        <v>81</v>
      </c>
      <c r="D23" s="1" t="s">
        <v>23</v>
      </c>
      <c r="E23" s="1" t="s">
        <v>64</v>
      </c>
      <c r="F23" s="1" t="s">
        <v>29</v>
      </c>
      <c r="G23" s="1" t="s">
        <v>24</v>
      </c>
      <c r="H23" s="1" t="s">
        <v>25</v>
      </c>
      <c r="I23" s="1">
        <v>1</v>
      </c>
      <c r="J23" s="4">
        <v>21650000</v>
      </c>
      <c r="K23" s="4">
        <v>18962000</v>
      </c>
      <c r="L23" s="4">
        <v>2688000</v>
      </c>
      <c r="M23" s="1" t="s">
        <v>20</v>
      </c>
    </row>
    <row r="24" spans="1:13">
      <c r="A24" s="1" t="s">
        <v>82</v>
      </c>
      <c r="B24" s="3">
        <v>45729</v>
      </c>
      <c r="C24" s="1" t="s">
        <v>83</v>
      </c>
      <c r="D24" s="1" t="s">
        <v>23</v>
      </c>
      <c r="E24" s="1" t="s">
        <v>44</v>
      </c>
      <c r="F24" s="1" t="s">
        <v>17</v>
      </c>
      <c r="G24" s="1" t="s">
        <v>18</v>
      </c>
      <c r="H24" s="1" t="s">
        <v>34</v>
      </c>
      <c r="I24" s="1">
        <v>1</v>
      </c>
      <c r="J24" s="4">
        <v>28091000</v>
      </c>
      <c r="K24" s="4">
        <v>21676000</v>
      </c>
      <c r="L24" s="4">
        <v>6415000</v>
      </c>
      <c r="M24" s="1" t="s">
        <v>20</v>
      </c>
    </row>
    <row r="25" spans="1:13">
      <c r="A25" s="1" t="s">
        <v>84</v>
      </c>
      <c r="B25" s="3">
        <v>45991</v>
      </c>
      <c r="C25" s="1" t="s">
        <v>85</v>
      </c>
      <c r="D25" s="1" t="s">
        <v>15</v>
      </c>
      <c r="E25" s="1" t="s">
        <v>64</v>
      </c>
      <c r="F25" s="1" t="s">
        <v>29</v>
      </c>
      <c r="G25" s="1" t="s">
        <v>49</v>
      </c>
      <c r="H25" s="1" t="s">
        <v>31</v>
      </c>
      <c r="I25" s="1">
        <v>2</v>
      </c>
      <c r="J25" s="4">
        <v>38260000</v>
      </c>
      <c r="K25" s="4">
        <v>37876000</v>
      </c>
      <c r="L25" s="4">
        <v>384000</v>
      </c>
      <c r="M25" s="1" t="s">
        <v>20</v>
      </c>
    </row>
    <row r="26" spans="1:13">
      <c r="A26" s="1" t="s">
        <v>86</v>
      </c>
      <c r="B26" s="3">
        <v>45863</v>
      </c>
      <c r="C26" s="1" t="s">
        <v>87</v>
      </c>
      <c r="D26" s="1" t="s">
        <v>23</v>
      </c>
      <c r="E26" s="1" t="s">
        <v>64</v>
      </c>
      <c r="F26" s="1" t="s">
        <v>29</v>
      </c>
      <c r="G26" s="1" t="s">
        <v>49</v>
      </c>
      <c r="H26" s="1" t="s">
        <v>37</v>
      </c>
      <c r="I26" s="1">
        <v>1</v>
      </c>
      <c r="J26" s="4">
        <v>21797000</v>
      </c>
      <c r="K26" s="4">
        <v>19081000</v>
      </c>
      <c r="L26" s="4">
        <v>2716000</v>
      </c>
      <c r="M26" s="1" t="s">
        <v>20</v>
      </c>
    </row>
    <row r="27" spans="1:13">
      <c r="A27" s="1" t="s">
        <v>88</v>
      </c>
      <c r="B27" s="3">
        <v>45942</v>
      </c>
      <c r="C27" s="1" t="s">
        <v>89</v>
      </c>
      <c r="D27" s="1" t="s">
        <v>23</v>
      </c>
      <c r="E27" s="1" t="s">
        <v>60</v>
      </c>
      <c r="F27" s="1" t="s">
        <v>61</v>
      </c>
      <c r="G27" s="1" t="s">
        <v>41</v>
      </c>
      <c r="H27" s="1" t="s">
        <v>34</v>
      </c>
      <c r="I27" s="1">
        <v>1</v>
      </c>
      <c r="J27" s="4">
        <v>59066000</v>
      </c>
      <c r="K27" s="4">
        <v>48270000</v>
      </c>
      <c r="L27" s="4">
        <v>10796000</v>
      </c>
      <c r="M27" s="1" t="s">
        <v>20</v>
      </c>
    </row>
    <row r="28" spans="1:13">
      <c r="A28" s="1" t="s">
        <v>90</v>
      </c>
      <c r="B28" s="3">
        <v>45683</v>
      </c>
      <c r="C28" s="1" t="s">
        <v>91</v>
      </c>
      <c r="D28" s="1" t="s">
        <v>23</v>
      </c>
      <c r="E28" s="1" t="s">
        <v>57</v>
      </c>
      <c r="F28" s="1" t="s">
        <v>29</v>
      </c>
      <c r="G28" s="1" t="s">
        <v>18</v>
      </c>
      <c r="H28" s="1" t="s">
        <v>19</v>
      </c>
      <c r="I28" s="1">
        <v>2</v>
      </c>
      <c r="J28" s="4">
        <v>82600000</v>
      </c>
      <c r="K28" s="4">
        <v>74272000</v>
      </c>
      <c r="L28" s="4">
        <v>8328000</v>
      </c>
      <c r="M28" s="1" t="s">
        <v>20</v>
      </c>
    </row>
    <row r="29" spans="1:13">
      <c r="A29" s="1" t="s">
        <v>92</v>
      </c>
      <c r="B29" s="3">
        <v>45692</v>
      </c>
      <c r="C29" s="1" t="s">
        <v>93</v>
      </c>
      <c r="D29" s="1" t="s">
        <v>23</v>
      </c>
      <c r="E29" s="1" t="s">
        <v>60</v>
      </c>
      <c r="F29" s="1" t="s">
        <v>61</v>
      </c>
      <c r="G29" s="1" t="s">
        <v>18</v>
      </c>
      <c r="H29" s="1" t="s">
        <v>25</v>
      </c>
      <c r="I29" s="1">
        <v>1</v>
      </c>
      <c r="J29" s="4">
        <v>64400000</v>
      </c>
      <c r="K29" s="4">
        <v>49218000</v>
      </c>
      <c r="L29" s="4">
        <v>15182000</v>
      </c>
      <c r="M29" s="1" t="s">
        <v>20</v>
      </c>
    </row>
    <row r="30" spans="1:13">
      <c r="A30" s="1" t="s">
        <v>94</v>
      </c>
      <c r="B30" s="3">
        <v>45994</v>
      </c>
      <c r="C30" s="1" t="s">
        <v>95</v>
      </c>
      <c r="D30" s="1" t="s">
        <v>23</v>
      </c>
      <c r="E30" s="1" t="s">
        <v>57</v>
      </c>
      <c r="F30" s="1" t="s">
        <v>29</v>
      </c>
      <c r="G30" s="1" t="s">
        <v>30</v>
      </c>
      <c r="H30" s="1" t="s">
        <v>37</v>
      </c>
      <c r="I30" s="1">
        <v>2</v>
      </c>
      <c r="J30" s="4">
        <v>83124000</v>
      </c>
      <c r="K30" s="4">
        <v>72535000</v>
      </c>
      <c r="L30" s="4">
        <v>10589000</v>
      </c>
      <c r="M30" s="1" t="s">
        <v>20</v>
      </c>
    </row>
    <row r="31" spans="1:13">
      <c r="A31" s="1" t="s">
        <v>96</v>
      </c>
      <c r="B31" s="3">
        <v>45988</v>
      </c>
      <c r="C31" s="1" t="s">
        <v>97</v>
      </c>
      <c r="D31" s="1" t="s">
        <v>23</v>
      </c>
      <c r="E31" s="1" t="s">
        <v>54</v>
      </c>
      <c r="F31" s="1" t="s">
        <v>17</v>
      </c>
      <c r="G31" s="1" t="s">
        <v>18</v>
      </c>
      <c r="H31" s="1" t="s">
        <v>19</v>
      </c>
      <c r="I31" s="1">
        <v>1</v>
      </c>
      <c r="J31" s="4">
        <v>22188000</v>
      </c>
      <c r="K31" s="4">
        <v>23103000</v>
      </c>
      <c r="L31" s="4">
        <v>-915000</v>
      </c>
      <c r="M31" s="1" t="s">
        <v>69</v>
      </c>
    </row>
    <row r="32" spans="1:13">
      <c r="A32" s="1" t="s">
        <v>98</v>
      </c>
      <c r="B32" s="3">
        <v>45767</v>
      </c>
      <c r="C32" s="1" t="s">
        <v>99</v>
      </c>
      <c r="D32" s="1" t="s">
        <v>23</v>
      </c>
      <c r="E32" s="1" t="s">
        <v>28</v>
      </c>
      <c r="F32" s="1" t="s">
        <v>29</v>
      </c>
      <c r="G32" s="1" t="s">
        <v>24</v>
      </c>
      <c r="H32" s="1" t="s">
        <v>37</v>
      </c>
      <c r="I32" s="1">
        <v>1</v>
      </c>
      <c r="J32" s="4">
        <v>49345000</v>
      </c>
      <c r="K32" s="4">
        <v>42388000</v>
      </c>
      <c r="L32" s="4">
        <v>6957000</v>
      </c>
      <c r="M32" s="1" t="s">
        <v>20</v>
      </c>
    </row>
    <row r="33" spans="1:13">
      <c r="A33" s="1" t="s">
        <v>100</v>
      </c>
      <c r="B33" s="3">
        <v>45812</v>
      </c>
      <c r="C33" s="1" t="s">
        <v>101</v>
      </c>
      <c r="D33" s="1" t="s">
        <v>15</v>
      </c>
      <c r="E33" s="1" t="s">
        <v>57</v>
      </c>
      <c r="F33" s="1" t="s">
        <v>29</v>
      </c>
      <c r="G33" s="1" t="s">
        <v>18</v>
      </c>
      <c r="H33" s="1" t="s">
        <v>31</v>
      </c>
      <c r="I33" s="1">
        <v>1</v>
      </c>
      <c r="J33" s="4">
        <v>29134000</v>
      </c>
      <c r="K33" s="4">
        <v>36626000</v>
      </c>
      <c r="L33" s="4">
        <v>-7492000</v>
      </c>
      <c r="M33" s="1" t="s">
        <v>20</v>
      </c>
    </row>
    <row r="34" spans="1:13">
      <c r="A34" s="1" t="s">
        <v>102</v>
      </c>
      <c r="B34" s="3">
        <v>45793</v>
      </c>
      <c r="C34" s="1" t="s">
        <v>103</v>
      </c>
      <c r="D34" s="1" t="s">
        <v>23</v>
      </c>
      <c r="E34" s="1" t="s">
        <v>16</v>
      </c>
      <c r="F34" s="1" t="s">
        <v>17</v>
      </c>
      <c r="G34" s="1" t="s">
        <v>41</v>
      </c>
      <c r="H34" s="1" t="s">
        <v>19</v>
      </c>
      <c r="I34" s="1">
        <v>1</v>
      </c>
      <c r="J34" s="4">
        <v>17557000</v>
      </c>
      <c r="K34" s="4">
        <v>14652000</v>
      </c>
      <c r="L34" s="4">
        <v>2905000</v>
      </c>
      <c r="M34" s="1" t="s">
        <v>20</v>
      </c>
    </row>
    <row r="35" spans="1:13">
      <c r="A35" s="1" t="s">
        <v>104</v>
      </c>
      <c r="B35" s="3">
        <v>45908</v>
      </c>
      <c r="C35" s="1" t="s">
        <v>105</v>
      </c>
      <c r="D35" s="1" t="s">
        <v>15</v>
      </c>
      <c r="E35" s="1" t="s">
        <v>54</v>
      </c>
      <c r="F35" s="1" t="s">
        <v>17</v>
      </c>
      <c r="G35" s="1" t="s">
        <v>30</v>
      </c>
      <c r="H35" s="1" t="s">
        <v>37</v>
      </c>
      <c r="I35" s="1">
        <v>1</v>
      </c>
      <c r="J35" s="4">
        <v>29140000</v>
      </c>
      <c r="K35" s="4">
        <v>23964000</v>
      </c>
      <c r="L35" s="4">
        <v>5176000</v>
      </c>
      <c r="M35" s="1" t="s">
        <v>20</v>
      </c>
    </row>
    <row r="36" spans="1:13">
      <c r="A36" s="1" t="s">
        <v>106</v>
      </c>
      <c r="B36" s="3">
        <v>45792</v>
      </c>
      <c r="C36" s="1" t="s">
        <v>107</v>
      </c>
      <c r="D36" s="1" t="s">
        <v>23</v>
      </c>
      <c r="E36" s="1" t="s">
        <v>16</v>
      </c>
      <c r="F36" s="1" t="s">
        <v>17</v>
      </c>
      <c r="G36" s="1" t="s">
        <v>30</v>
      </c>
      <c r="H36" s="1" t="s">
        <v>19</v>
      </c>
      <c r="I36" s="1">
        <v>1</v>
      </c>
      <c r="J36" s="4">
        <v>18233000</v>
      </c>
      <c r="K36" s="4">
        <v>13937000</v>
      </c>
      <c r="L36" s="4">
        <v>4296000</v>
      </c>
      <c r="M36" s="1" t="s">
        <v>69</v>
      </c>
    </row>
    <row r="37" spans="1:13">
      <c r="A37" s="1" t="s">
        <v>108</v>
      </c>
      <c r="B37" s="3">
        <v>45676</v>
      </c>
      <c r="C37" s="1" t="s">
        <v>109</v>
      </c>
      <c r="D37" s="1" t="s">
        <v>15</v>
      </c>
      <c r="E37" s="1" t="s">
        <v>40</v>
      </c>
      <c r="F37" s="1" t="s">
        <v>29</v>
      </c>
      <c r="G37" s="1" t="s">
        <v>18</v>
      </c>
      <c r="H37" s="1" t="s">
        <v>110</v>
      </c>
      <c r="I37" s="1">
        <v>1</v>
      </c>
      <c r="J37" s="4">
        <v>22958000</v>
      </c>
      <c r="K37" s="4">
        <v>19420000</v>
      </c>
      <c r="L37" s="4">
        <v>3538000</v>
      </c>
      <c r="M37" s="1" t="s">
        <v>20</v>
      </c>
    </row>
    <row r="38" spans="1:13">
      <c r="A38" s="1" t="s">
        <v>111</v>
      </c>
      <c r="B38" s="3">
        <v>45765</v>
      </c>
      <c r="C38" s="1" t="s">
        <v>112</v>
      </c>
      <c r="D38" s="1" t="s">
        <v>15</v>
      </c>
      <c r="E38" s="1" t="s">
        <v>60</v>
      </c>
      <c r="F38" s="1" t="s">
        <v>61</v>
      </c>
      <c r="G38" s="1" t="s">
        <v>30</v>
      </c>
      <c r="H38" s="1" t="s">
        <v>31</v>
      </c>
      <c r="I38" s="1">
        <v>1</v>
      </c>
      <c r="J38" s="4">
        <v>61780000</v>
      </c>
      <c r="K38" s="4">
        <v>52392000</v>
      </c>
      <c r="L38" s="4">
        <v>9388000</v>
      </c>
      <c r="M38" s="1" t="s">
        <v>69</v>
      </c>
    </row>
    <row r="39" spans="1:13">
      <c r="A39" s="1" t="s">
        <v>113</v>
      </c>
      <c r="B39" s="3">
        <v>45741</v>
      </c>
      <c r="C39" s="1" t="s">
        <v>114</v>
      </c>
      <c r="D39" s="1" t="s">
        <v>15</v>
      </c>
      <c r="E39" s="1" t="s">
        <v>64</v>
      </c>
      <c r="F39" s="1" t="s">
        <v>29</v>
      </c>
      <c r="G39" s="1" t="s">
        <v>49</v>
      </c>
      <c r="H39" s="1" t="s">
        <v>37</v>
      </c>
      <c r="I39" s="1">
        <v>2</v>
      </c>
      <c r="J39" s="4">
        <v>41502000</v>
      </c>
      <c r="K39" s="4">
        <v>37466000</v>
      </c>
      <c r="L39" s="4">
        <v>4036000</v>
      </c>
      <c r="M39" s="1" t="s">
        <v>20</v>
      </c>
    </row>
    <row r="40" spans="1:13">
      <c r="A40" s="1" t="s">
        <v>115</v>
      </c>
      <c r="B40" s="3">
        <v>45785</v>
      </c>
      <c r="C40" s="1" t="s">
        <v>116</v>
      </c>
      <c r="D40" s="1" t="s">
        <v>15</v>
      </c>
      <c r="E40" s="1" t="s">
        <v>54</v>
      </c>
      <c r="F40" s="1" t="s">
        <v>17</v>
      </c>
      <c r="G40" s="1" t="s">
        <v>49</v>
      </c>
      <c r="H40" s="1" t="s">
        <v>110</v>
      </c>
      <c r="I40" s="1">
        <v>1</v>
      </c>
      <c r="J40" s="4">
        <v>30021000</v>
      </c>
      <c r="K40" s="4">
        <v>24032000</v>
      </c>
      <c r="L40" s="4">
        <v>5989000</v>
      </c>
      <c r="M40" s="1" t="s">
        <v>20</v>
      </c>
    </row>
    <row r="41" spans="1:13">
      <c r="A41" s="1" t="s">
        <v>117</v>
      </c>
      <c r="B41" s="3">
        <v>45814</v>
      </c>
      <c r="C41" s="1" t="s">
        <v>36</v>
      </c>
      <c r="D41" s="1" t="s">
        <v>15</v>
      </c>
      <c r="E41" s="1" t="s">
        <v>40</v>
      </c>
      <c r="F41" s="1" t="s">
        <v>29</v>
      </c>
      <c r="G41" s="1" t="s">
        <v>41</v>
      </c>
      <c r="H41" s="1" t="s">
        <v>110</v>
      </c>
      <c r="I41" s="1">
        <v>1</v>
      </c>
      <c r="J41" s="4">
        <v>17726000</v>
      </c>
      <c r="K41" s="4">
        <v>19599000</v>
      </c>
      <c r="L41" s="4">
        <v>-1873000</v>
      </c>
      <c r="M41" s="1" t="s">
        <v>20</v>
      </c>
    </row>
    <row r="42" spans="1:13">
      <c r="A42" s="1" t="s">
        <v>118</v>
      </c>
      <c r="B42" s="3">
        <v>45986</v>
      </c>
      <c r="C42" s="1" t="s">
        <v>119</v>
      </c>
      <c r="D42" s="1" t="s">
        <v>15</v>
      </c>
      <c r="E42" s="1" t="s">
        <v>28</v>
      </c>
      <c r="F42" s="1" t="s">
        <v>29</v>
      </c>
      <c r="G42" s="1" t="s">
        <v>30</v>
      </c>
      <c r="H42" s="1" t="s">
        <v>19</v>
      </c>
      <c r="I42" s="1">
        <v>2</v>
      </c>
      <c r="J42" s="4">
        <v>83834000</v>
      </c>
      <c r="K42" s="4">
        <v>82890000</v>
      </c>
      <c r="L42" s="4">
        <v>944000</v>
      </c>
      <c r="M42" s="1" t="s">
        <v>20</v>
      </c>
    </row>
    <row r="43" spans="1:13">
      <c r="A43" s="1" t="s">
        <v>120</v>
      </c>
      <c r="B43" s="3">
        <v>45793</v>
      </c>
      <c r="C43" s="1" t="s">
        <v>121</v>
      </c>
      <c r="D43" s="1" t="s">
        <v>15</v>
      </c>
      <c r="E43" s="1" t="s">
        <v>16</v>
      </c>
      <c r="F43" s="1" t="s">
        <v>17</v>
      </c>
      <c r="G43" s="1" t="s">
        <v>49</v>
      </c>
      <c r="H43" s="1" t="s">
        <v>19</v>
      </c>
      <c r="I43" s="1">
        <v>1</v>
      </c>
      <c r="J43" s="4">
        <v>18760000</v>
      </c>
      <c r="K43" s="4">
        <v>14408000</v>
      </c>
      <c r="L43" s="4">
        <v>4352000</v>
      </c>
      <c r="M43" s="1" t="s">
        <v>69</v>
      </c>
    </row>
    <row r="44" spans="1:13">
      <c r="A44" s="1" t="s">
        <v>122</v>
      </c>
      <c r="B44" s="3">
        <v>45755</v>
      </c>
      <c r="C44" s="1" t="s">
        <v>123</v>
      </c>
      <c r="D44" s="1" t="s">
        <v>15</v>
      </c>
      <c r="E44" s="1" t="s">
        <v>54</v>
      </c>
      <c r="F44" s="1" t="s">
        <v>17</v>
      </c>
      <c r="G44" s="1" t="s">
        <v>30</v>
      </c>
      <c r="H44" s="1" t="s">
        <v>110</v>
      </c>
      <c r="I44" s="1">
        <v>1</v>
      </c>
      <c r="J44" s="4">
        <v>30219000</v>
      </c>
      <c r="K44" s="4">
        <v>23289000</v>
      </c>
      <c r="L44" s="4">
        <v>6930000</v>
      </c>
      <c r="M44" s="1" t="s">
        <v>20</v>
      </c>
    </row>
    <row r="45" spans="1:13">
      <c r="A45" s="1" t="s">
        <v>124</v>
      </c>
      <c r="B45" s="3">
        <v>45878</v>
      </c>
      <c r="C45" s="1" t="s">
        <v>125</v>
      </c>
      <c r="D45" s="1" t="s">
        <v>15</v>
      </c>
      <c r="E45" s="1" t="s">
        <v>16</v>
      </c>
      <c r="F45" s="1" t="s">
        <v>17</v>
      </c>
      <c r="G45" s="1" t="s">
        <v>24</v>
      </c>
      <c r="H45" s="1" t="s">
        <v>110</v>
      </c>
      <c r="I45" s="1">
        <v>1</v>
      </c>
      <c r="J45" s="4">
        <v>17655000</v>
      </c>
      <c r="K45" s="4">
        <v>15005000</v>
      </c>
      <c r="L45" s="4">
        <v>2650000</v>
      </c>
      <c r="M45" s="1" t="s">
        <v>20</v>
      </c>
    </row>
    <row r="46" spans="1:13">
      <c r="A46" s="1" t="s">
        <v>126</v>
      </c>
      <c r="B46" s="3">
        <v>45999</v>
      </c>
      <c r="C46" s="1" t="s">
        <v>127</v>
      </c>
      <c r="D46" s="1" t="s">
        <v>23</v>
      </c>
      <c r="E46" s="1" t="s">
        <v>44</v>
      </c>
      <c r="F46" s="1" t="s">
        <v>17</v>
      </c>
      <c r="G46" s="1" t="s">
        <v>30</v>
      </c>
      <c r="H46" s="1" t="s">
        <v>19</v>
      </c>
      <c r="I46" s="1">
        <v>1</v>
      </c>
      <c r="J46" s="4">
        <v>25349000</v>
      </c>
      <c r="K46" s="4">
        <v>21627000</v>
      </c>
      <c r="L46" s="4">
        <v>3722000</v>
      </c>
      <c r="M46" s="1" t="s">
        <v>69</v>
      </c>
    </row>
    <row r="47" spans="1:13">
      <c r="A47" s="1" t="s">
        <v>128</v>
      </c>
      <c r="B47" s="3">
        <v>45949</v>
      </c>
      <c r="C47" s="1" t="s">
        <v>129</v>
      </c>
      <c r="D47" s="1" t="s">
        <v>23</v>
      </c>
      <c r="E47" s="1" t="s">
        <v>54</v>
      </c>
      <c r="F47" s="1" t="s">
        <v>17</v>
      </c>
      <c r="G47" s="1" t="s">
        <v>41</v>
      </c>
      <c r="H47" s="1" t="s">
        <v>25</v>
      </c>
      <c r="I47" s="1">
        <v>1</v>
      </c>
      <c r="J47" s="4">
        <v>27853000</v>
      </c>
      <c r="K47" s="4">
        <v>23037000</v>
      </c>
      <c r="L47" s="4">
        <v>4816000</v>
      </c>
      <c r="M47" s="1" t="s">
        <v>20</v>
      </c>
    </row>
    <row r="48" spans="1:13">
      <c r="A48" s="1" t="s">
        <v>130</v>
      </c>
      <c r="B48" s="3">
        <v>45884</v>
      </c>
      <c r="C48" s="1" t="s">
        <v>68</v>
      </c>
      <c r="D48" s="1" t="s">
        <v>23</v>
      </c>
      <c r="E48" s="1" t="s">
        <v>44</v>
      </c>
      <c r="F48" s="1" t="s">
        <v>17</v>
      </c>
      <c r="G48" s="1" t="s">
        <v>41</v>
      </c>
      <c r="H48" s="1" t="s">
        <v>19</v>
      </c>
      <c r="I48" s="1">
        <v>1</v>
      </c>
      <c r="J48" s="4">
        <v>28015000</v>
      </c>
      <c r="K48" s="4">
        <v>22445000</v>
      </c>
      <c r="L48" s="4">
        <v>5570000</v>
      </c>
      <c r="M48" s="1" t="s">
        <v>20</v>
      </c>
    </row>
    <row r="49" spans="1:13">
      <c r="A49" s="1" t="s">
        <v>131</v>
      </c>
      <c r="B49" s="3">
        <v>45997</v>
      </c>
      <c r="C49" s="1" t="s">
        <v>132</v>
      </c>
      <c r="D49" s="1" t="s">
        <v>23</v>
      </c>
      <c r="E49" s="1" t="s">
        <v>60</v>
      </c>
      <c r="F49" s="1" t="s">
        <v>61</v>
      </c>
      <c r="G49" s="1" t="s">
        <v>30</v>
      </c>
      <c r="H49" s="1" t="s">
        <v>34</v>
      </c>
      <c r="I49" s="1">
        <v>1</v>
      </c>
      <c r="J49" s="4">
        <v>63297000</v>
      </c>
      <c r="K49" s="4">
        <v>51373000</v>
      </c>
      <c r="L49" s="4">
        <v>11924000</v>
      </c>
      <c r="M49" s="1" t="s">
        <v>20</v>
      </c>
    </row>
    <row r="50" spans="1:13">
      <c r="A50" s="1" t="s">
        <v>133</v>
      </c>
      <c r="B50" s="3">
        <v>45681</v>
      </c>
      <c r="C50" s="1" t="s">
        <v>134</v>
      </c>
      <c r="D50" s="1" t="s">
        <v>23</v>
      </c>
      <c r="E50" s="1" t="s">
        <v>54</v>
      </c>
      <c r="F50" s="1" t="s">
        <v>17</v>
      </c>
      <c r="G50" s="1" t="s">
        <v>49</v>
      </c>
      <c r="H50" s="1" t="s">
        <v>25</v>
      </c>
      <c r="I50" s="1">
        <v>2</v>
      </c>
      <c r="J50" s="4">
        <v>54120000</v>
      </c>
      <c r="K50" s="4">
        <v>46003000</v>
      </c>
      <c r="L50" s="4">
        <v>8117000</v>
      </c>
      <c r="M50" s="1" t="s">
        <v>20</v>
      </c>
    </row>
    <row r="51" spans="1:13">
      <c r="A51" s="1" t="s">
        <v>135</v>
      </c>
      <c r="B51" s="3">
        <v>45862</v>
      </c>
      <c r="C51" s="1" t="s">
        <v>71</v>
      </c>
      <c r="D51" s="1" t="s">
        <v>15</v>
      </c>
      <c r="E51" s="1" t="s">
        <v>54</v>
      </c>
      <c r="F51" s="1" t="s">
        <v>17</v>
      </c>
      <c r="G51" s="1" t="s">
        <v>30</v>
      </c>
      <c r="H51" s="1" t="s">
        <v>31</v>
      </c>
      <c r="I51" s="1">
        <v>1</v>
      </c>
      <c r="J51" s="4">
        <v>29572000</v>
      </c>
      <c r="K51" s="4">
        <v>23827000</v>
      </c>
      <c r="L51" s="4">
        <v>5745000</v>
      </c>
      <c r="M51" s="1" t="s">
        <v>20</v>
      </c>
    </row>
    <row r="52" spans="1:13">
      <c r="A52" s="1" t="s">
        <v>136</v>
      </c>
      <c r="B52" s="3">
        <v>46014</v>
      </c>
      <c r="C52" s="1" t="s">
        <v>137</v>
      </c>
      <c r="D52" s="1" t="s">
        <v>23</v>
      </c>
      <c r="E52" s="1" t="s">
        <v>28</v>
      </c>
      <c r="F52" s="1" t="s">
        <v>29</v>
      </c>
      <c r="G52" s="1" t="s">
        <v>24</v>
      </c>
      <c r="H52" s="1" t="s">
        <v>19</v>
      </c>
      <c r="I52" s="1">
        <v>1</v>
      </c>
      <c r="J52" s="4">
        <v>54615000</v>
      </c>
      <c r="K52" s="4">
        <v>43311000</v>
      </c>
      <c r="L52" s="4">
        <v>11304000</v>
      </c>
      <c r="M52" s="1" t="s">
        <v>20</v>
      </c>
    </row>
    <row r="53" spans="1:13">
      <c r="A53" s="1" t="s">
        <v>138</v>
      </c>
      <c r="B53" s="3">
        <v>45962</v>
      </c>
      <c r="C53" s="1" t="s">
        <v>139</v>
      </c>
      <c r="D53" s="1" t="s">
        <v>15</v>
      </c>
      <c r="E53" s="1" t="s">
        <v>44</v>
      </c>
      <c r="F53" s="1" t="s">
        <v>17</v>
      </c>
      <c r="G53" s="1" t="s">
        <v>24</v>
      </c>
      <c r="H53" s="1" t="s">
        <v>25</v>
      </c>
      <c r="I53" s="1">
        <v>1</v>
      </c>
      <c r="J53" s="4">
        <v>22729000</v>
      </c>
      <c r="K53" s="4">
        <v>22655000</v>
      </c>
      <c r="L53" s="4">
        <v>74000</v>
      </c>
      <c r="M53" s="1" t="s">
        <v>20</v>
      </c>
    </row>
    <row r="54" spans="1:13">
      <c r="A54" s="1" t="s">
        <v>140</v>
      </c>
      <c r="B54" s="3">
        <v>45739</v>
      </c>
      <c r="C54" s="1" t="s">
        <v>141</v>
      </c>
      <c r="D54" s="1" t="s">
        <v>23</v>
      </c>
      <c r="E54" s="1" t="s">
        <v>40</v>
      </c>
      <c r="F54" s="1" t="s">
        <v>29</v>
      </c>
      <c r="G54" s="1" t="s">
        <v>49</v>
      </c>
      <c r="H54" s="1" t="s">
        <v>37</v>
      </c>
      <c r="I54" s="1">
        <v>1</v>
      </c>
      <c r="J54" s="4">
        <v>23331000</v>
      </c>
      <c r="K54" s="4">
        <v>20073000</v>
      </c>
      <c r="L54" s="4">
        <v>3258000</v>
      </c>
      <c r="M54" s="1" t="s">
        <v>20</v>
      </c>
    </row>
    <row r="55" spans="1:13">
      <c r="A55" s="1" t="s">
        <v>142</v>
      </c>
      <c r="B55" s="3">
        <v>45780</v>
      </c>
      <c r="C55" s="1" t="s">
        <v>143</v>
      </c>
      <c r="D55" s="1" t="s">
        <v>23</v>
      </c>
      <c r="E55" s="1" t="s">
        <v>54</v>
      </c>
      <c r="F55" s="1" t="s">
        <v>17</v>
      </c>
      <c r="G55" s="1" t="s">
        <v>30</v>
      </c>
      <c r="H55" s="1" t="s">
        <v>31</v>
      </c>
      <c r="I55" s="1">
        <v>1</v>
      </c>
      <c r="J55" s="4">
        <v>27797000</v>
      </c>
      <c r="K55" s="4">
        <v>22782000</v>
      </c>
      <c r="L55" s="4">
        <v>5015000</v>
      </c>
      <c r="M55" s="1" t="s">
        <v>20</v>
      </c>
    </row>
    <row r="56" spans="1:13">
      <c r="A56" s="1" t="s">
        <v>144</v>
      </c>
      <c r="B56" s="3">
        <v>45854</v>
      </c>
      <c r="C56" s="1" t="s">
        <v>103</v>
      </c>
      <c r="D56" s="1" t="s">
        <v>15</v>
      </c>
      <c r="E56" s="1" t="s">
        <v>40</v>
      </c>
      <c r="F56" s="1" t="s">
        <v>29</v>
      </c>
      <c r="G56" s="1" t="s">
        <v>49</v>
      </c>
      <c r="H56" s="1" t="s">
        <v>25</v>
      </c>
      <c r="I56" s="1">
        <v>1</v>
      </c>
      <c r="J56" s="4">
        <v>23832000</v>
      </c>
      <c r="K56" s="4">
        <v>19884000</v>
      </c>
      <c r="L56" s="4">
        <v>3948000</v>
      </c>
      <c r="M56" s="1" t="s">
        <v>20</v>
      </c>
    </row>
    <row r="57" spans="1:13">
      <c r="A57" s="1" t="s">
        <v>145</v>
      </c>
      <c r="B57" s="3">
        <v>45957</v>
      </c>
      <c r="C57" s="1" t="s">
        <v>125</v>
      </c>
      <c r="D57" s="1" t="s">
        <v>23</v>
      </c>
      <c r="E57" s="1" t="s">
        <v>64</v>
      </c>
      <c r="F57" s="1" t="s">
        <v>29</v>
      </c>
      <c r="G57" s="1" t="s">
        <v>49</v>
      </c>
      <c r="H57" s="1" t="s">
        <v>25</v>
      </c>
      <c r="I57" s="1">
        <v>2</v>
      </c>
      <c r="J57" s="4">
        <v>44653000</v>
      </c>
      <c r="K57" s="4">
        <v>36516000</v>
      </c>
      <c r="L57" s="4">
        <v>8137000</v>
      </c>
      <c r="M57" s="1" t="s">
        <v>69</v>
      </c>
    </row>
    <row r="58" spans="1:13">
      <c r="A58" s="1" t="s">
        <v>146</v>
      </c>
      <c r="B58" s="3">
        <v>45933</v>
      </c>
      <c r="C58" s="1" t="s">
        <v>147</v>
      </c>
      <c r="D58" s="1" t="s">
        <v>23</v>
      </c>
      <c r="E58" s="1" t="s">
        <v>40</v>
      </c>
      <c r="F58" s="1" t="s">
        <v>29</v>
      </c>
      <c r="G58" s="1" t="s">
        <v>49</v>
      </c>
      <c r="H58" s="1" t="s">
        <v>110</v>
      </c>
      <c r="I58" s="1">
        <v>1</v>
      </c>
      <c r="J58" s="4">
        <v>23248000</v>
      </c>
      <c r="K58" s="4">
        <v>19244000</v>
      </c>
      <c r="L58" s="4">
        <v>4004000</v>
      </c>
      <c r="M58" s="1" t="s">
        <v>20</v>
      </c>
    </row>
    <row r="59" spans="1:13">
      <c r="A59" s="1" t="s">
        <v>148</v>
      </c>
      <c r="B59" s="3">
        <v>46000</v>
      </c>
      <c r="C59" s="1" t="s">
        <v>149</v>
      </c>
      <c r="D59" s="1" t="s">
        <v>23</v>
      </c>
      <c r="E59" s="1" t="s">
        <v>60</v>
      </c>
      <c r="F59" s="1" t="s">
        <v>61</v>
      </c>
      <c r="G59" s="1" t="s">
        <v>49</v>
      </c>
      <c r="H59" s="1" t="s">
        <v>19</v>
      </c>
      <c r="I59" s="1">
        <v>1</v>
      </c>
      <c r="J59" s="4">
        <v>61046000</v>
      </c>
      <c r="K59" s="4">
        <v>48620000</v>
      </c>
      <c r="L59" s="4">
        <v>12426000</v>
      </c>
      <c r="M59" s="1" t="s">
        <v>20</v>
      </c>
    </row>
    <row r="60" spans="1:13">
      <c r="A60" s="1" t="s">
        <v>150</v>
      </c>
      <c r="B60" s="3">
        <v>45946</v>
      </c>
      <c r="C60" s="1" t="s">
        <v>151</v>
      </c>
      <c r="D60" s="1" t="s">
        <v>23</v>
      </c>
      <c r="E60" s="1" t="s">
        <v>60</v>
      </c>
      <c r="F60" s="1" t="s">
        <v>61</v>
      </c>
      <c r="G60" s="1" t="s">
        <v>30</v>
      </c>
      <c r="H60" s="1" t="s">
        <v>25</v>
      </c>
      <c r="I60" s="1">
        <v>1</v>
      </c>
      <c r="J60" s="4">
        <v>64214000</v>
      </c>
      <c r="K60" s="4">
        <v>48893000</v>
      </c>
      <c r="L60" s="4">
        <v>15321000</v>
      </c>
      <c r="M60" s="1" t="s">
        <v>20</v>
      </c>
    </row>
    <row r="61" spans="1:13">
      <c r="A61" s="1" t="s">
        <v>152</v>
      </c>
      <c r="B61" s="3">
        <v>45825</v>
      </c>
      <c r="C61" s="1" t="s">
        <v>153</v>
      </c>
      <c r="D61" s="1" t="s">
        <v>15</v>
      </c>
      <c r="E61" s="1" t="s">
        <v>44</v>
      </c>
      <c r="F61" s="1" t="s">
        <v>17</v>
      </c>
      <c r="G61" s="1" t="s">
        <v>18</v>
      </c>
      <c r="H61" s="1" t="s">
        <v>37</v>
      </c>
      <c r="I61" s="1">
        <v>1</v>
      </c>
      <c r="J61" s="4">
        <v>20295000</v>
      </c>
      <c r="K61" s="4">
        <v>21629000</v>
      </c>
      <c r="L61" s="4">
        <v>-1334000</v>
      </c>
      <c r="M61" s="1" t="s">
        <v>20</v>
      </c>
    </row>
    <row r="62" spans="1:13">
      <c r="A62" s="1" t="s">
        <v>154</v>
      </c>
      <c r="B62" s="3">
        <v>45934</v>
      </c>
      <c r="C62" s="1" t="s">
        <v>147</v>
      </c>
      <c r="D62" s="1" t="s">
        <v>15</v>
      </c>
      <c r="E62" s="1" t="s">
        <v>16</v>
      </c>
      <c r="F62" s="1" t="s">
        <v>17</v>
      </c>
      <c r="G62" s="1" t="s">
        <v>30</v>
      </c>
      <c r="H62" s="1" t="s">
        <v>31</v>
      </c>
      <c r="I62" s="1">
        <v>1</v>
      </c>
      <c r="J62" s="4">
        <v>17081000</v>
      </c>
      <c r="K62" s="4">
        <v>15163000</v>
      </c>
      <c r="L62" s="4">
        <v>1918000</v>
      </c>
      <c r="M62" s="1" t="s">
        <v>20</v>
      </c>
    </row>
    <row r="63" spans="1:13">
      <c r="A63" s="1" t="s">
        <v>155</v>
      </c>
      <c r="B63" s="3">
        <v>45668</v>
      </c>
      <c r="C63" s="1" t="s">
        <v>156</v>
      </c>
      <c r="D63" s="1" t="s">
        <v>23</v>
      </c>
      <c r="E63" s="1" t="s">
        <v>57</v>
      </c>
      <c r="F63" s="1" t="s">
        <v>29</v>
      </c>
      <c r="G63" s="1" t="s">
        <v>41</v>
      </c>
      <c r="H63" s="1" t="s">
        <v>31</v>
      </c>
      <c r="I63" s="1">
        <v>1</v>
      </c>
      <c r="J63" s="4">
        <v>41059000</v>
      </c>
      <c r="K63" s="4">
        <v>37090000</v>
      </c>
      <c r="L63" s="4">
        <v>3969000</v>
      </c>
      <c r="M63" s="1" t="s">
        <v>20</v>
      </c>
    </row>
    <row r="64" spans="1:13">
      <c r="A64" s="1" t="s">
        <v>157</v>
      </c>
      <c r="B64" s="3">
        <v>45968</v>
      </c>
      <c r="C64" s="1" t="s">
        <v>149</v>
      </c>
      <c r="D64" s="1" t="s">
        <v>15</v>
      </c>
      <c r="E64" s="1" t="s">
        <v>57</v>
      </c>
      <c r="F64" s="1" t="s">
        <v>29</v>
      </c>
      <c r="G64" s="1" t="s">
        <v>41</v>
      </c>
      <c r="H64" s="1" t="s">
        <v>19</v>
      </c>
      <c r="I64" s="1">
        <v>1</v>
      </c>
      <c r="J64" s="4">
        <v>36900000</v>
      </c>
      <c r="K64" s="4">
        <v>37150000</v>
      </c>
      <c r="L64" s="4">
        <v>-250000</v>
      </c>
      <c r="M64" s="1" t="s">
        <v>20</v>
      </c>
    </row>
    <row r="65" spans="1:13">
      <c r="A65" s="1" t="s">
        <v>158</v>
      </c>
      <c r="B65" s="3">
        <v>46004</v>
      </c>
      <c r="C65" s="1" t="s">
        <v>159</v>
      </c>
      <c r="D65" s="1" t="s">
        <v>23</v>
      </c>
      <c r="E65" s="1" t="s">
        <v>64</v>
      </c>
      <c r="F65" s="1" t="s">
        <v>29</v>
      </c>
      <c r="G65" s="1" t="s">
        <v>18</v>
      </c>
      <c r="H65" s="1" t="s">
        <v>37</v>
      </c>
      <c r="I65" s="1">
        <v>2</v>
      </c>
      <c r="J65" s="4">
        <v>42494000</v>
      </c>
      <c r="K65" s="4">
        <v>36937000</v>
      </c>
      <c r="L65" s="4">
        <v>5557000</v>
      </c>
      <c r="M65" s="1" t="s">
        <v>20</v>
      </c>
    </row>
    <row r="66" spans="1:13">
      <c r="A66" s="1" t="s">
        <v>160</v>
      </c>
      <c r="B66" s="3">
        <v>45812</v>
      </c>
      <c r="C66" s="1" t="s">
        <v>161</v>
      </c>
      <c r="D66" s="1" t="s">
        <v>15</v>
      </c>
      <c r="E66" s="1" t="s">
        <v>40</v>
      </c>
      <c r="F66" s="1" t="s">
        <v>29</v>
      </c>
      <c r="G66" s="1" t="s">
        <v>41</v>
      </c>
      <c r="H66" s="1" t="s">
        <v>34</v>
      </c>
      <c r="I66" s="1">
        <v>1</v>
      </c>
      <c r="J66" s="4">
        <v>18453000</v>
      </c>
      <c r="K66" s="4">
        <v>20360000</v>
      </c>
      <c r="L66" s="4">
        <v>-1907000</v>
      </c>
      <c r="M66" s="1" t="s">
        <v>20</v>
      </c>
    </row>
    <row r="67" spans="1:13">
      <c r="A67" s="1" t="s">
        <v>162</v>
      </c>
      <c r="B67" s="3">
        <v>45917</v>
      </c>
      <c r="C67" s="1" t="s">
        <v>163</v>
      </c>
      <c r="D67" s="1" t="s">
        <v>23</v>
      </c>
      <c r="E67" s="1" t="s">
        <v>60</v>
      </c>
      <c r="F67" s="1" t="s">
        <v>61</v>
      </c>
      <c r="G67" s="1" t="s">
        <v>49</v>
      </c>
      <c r="H67" s="1" t="s">
        <v>37</v>
      </c>
      <c r="I67" s="1">
        <v>1</v>
      </c>
      <c r="J67" s="4">
        <v>61227000</v>
      </c>
      <c r="K67" s="4">
        <v>50164000</v>
      </c>
      <c r="L67" s="4">
        <v>11063000</v>
      </c>
      <c r="M67" s="1" t="s">
        <v>20</v>
      </c>
    </row>
    <row r="68" spans="1:13">
      <c r="A68" s="1" t="s">
        <v>164</v>
      </c>
      <c r="B68" s="3">
        <v>45736</v>
      </c>
      <c r="C68" s="1" t="s">
        <v>165</v>
      </c>
      <c r="D68" s="1" t="s">
        <v>15</v>
      </c>
      <c r="E68" s="1" t="s">
        <v>44</v>
      </c>
      <c r="F68" s="1" t="s">
        <v>17</v>
      </c>
      <c r="G68" s="1" t="s">
        <v>49</v>
      </c>
      <c r="H68" s="1" t="s">
        <v>25</v>
      </c>
      <c r="I68" s="1">
        <v>2</v>
      </c>
      <c r="J68" s="4">
        <v>51681000</v>
      </c>
      <c r="K68" s="4">
        <v>44944000</v>
      </c>
      <c r="L68" s="4">
        <v>6737000</v>
      </c>
      <c r="M68" s="1" t="s">
        <v>20</v>
      </c>
    </row>
    <row r="69" spans="1:13">
      <c r="A69" s="1" t="s">
        <v>166</v>
      </c>
      <c r="B69" s="3">
        <v>45961</v>
      </c>
      <c r="C69" s="1" t="s">
        <v>167</v>
      </c>
      <c r="D69" s="1" t="s">
        <v>15</v>
      </c>
      <c r="E69" s="1" t="s">
        <v>54</v>
      </c>
      <c r="F69" s="1" t="s">
        <v>17</v>
      </c>
      <c r="G69" s="1" t="s">
        <v>24</v>
      </c>
      <c r="H69" s="1" t="s">
        <v>19</v>
      </c>
      <c r="I69" s="1">
        <v>2</v>
      </c>
      <c r="J69" s="4">
        <v>54222000</v>
      </c>
      <c r="K69" s="4">
        <v>48171000</v>
      </c>
      <c r="L69" s="4">
        <v>6051000</v>
      </c>
      <c r="M69" s="1" t="s">
        <v>20</v>
      </c>
    </row>
    <row r="70" spans="1:13">
      <c r="A70" s="1" t="s">
        <v>168</v>
      </c>
      <c r="B70" s="3">
        <v>46000</v>
      </c>
      <c r="C70" s="1" t="s">
        <v>169</v>
      </c>
      <c r="D70" s="1" t="s">
        <v>23</v>
      </c>
      <c r="E70" s="1" t="s">
        <v>44</v>
      </c>
      <c r="F70" s="1" t="s">
        <v>17</v>
      </c>
      <c r="G70" s="1" t="s">
        <v>41</v>
      </c>
      <c r="H70" s="1" t="s">
        <v>19</v>
      </c>
      <c r="I70" s="1">
        <v>2</v>
      </c>
      <c r="J70" s="4">
        <v>51073000</v>
      </c>
      <c r="K70" s="4">
        <v>42345000</v>
      </c>
      <c r="L70" s="4">
        <v>8728000</v>
      </c>
      <c r="M70" s="1" t="s">
        <v>20</v>
      </c>
    </row>
    <row r="71" spans="1:13">
      <c r="A71" s="1" t="s">
        <v>170</v>
      </c>
      <c r="B71" s="3">
        <v>46017</v>
      </c>
      <c r="C71" s="1" t="s">
        <v>171</v>
      </c>
      <c r="D71" s="1" t="s">
        <v>23</v>
      </c>
      <c r="E71" s="1" t="s">
        <v>64</v>
      </c>
      <c r="F71" s="1" t="s">
        <v>29</v>
      </c>
      <c r="G71" s="1" t="s">
        <v>30</v>
      </c>
      <c r="H71" s="1" t="s">
        <v>37</v>
      </c>
      <c r="I71" s="1">
        <v>1</v>
      </c>
      <c r="J71" s="4">
        <v>21226000</v>
      </c>
      <c r="K71" s="4">
        <v>17827000</v>
      </c>
      <c r="L71" s="4">
        <v>3399000</v>
      </c>
      <c r="M71" s="1" t="s">
        <v>20</v>
      </c>
    </row>
    <row r="72" spans="1:13">
      <c r="A72" s="1" t="s">
        <v>172</v>
      </c>
      <c r="B72" s="3">
        <v>45901</v>
      </c>
      <c r="C72" s="1" t="s">
        <v>173</v>
      </c>
      <c r="D72" s="1" t="s">
        <v>23</v>
      </c>
      <c r="E72" s="1" t="s">
        <v>60</v>
      </c>
      <c r="F72" s="1" t="s">
        <v>61</v>
      </c>
      <c r="G72" s="1" t="s">
        <v>24</v>
      </c>
      <c r="H72" s="1" t="s">
        <v>110</v>
      </c>
      <c r="I72" s="1">
        <v>1</v>
      </c>
      <c r="J72" s="4">
        <v>58078000</v>
      </c>
      <c r="K72" s="4">
        <v>49094000</v>
      </c>
      <c r="L72" s="4">
        <v>8984000</v>
      </c>
      <c r="M72" s="1" t="s">
        <v>20</v>
      </c>
    </row>
    <row r="73" spans="1:13">
      <c r="A73" s="1" t="s">
        <v>174</v>
      </c>
      <c r="B73" s="3">
        <v>45900</v>
      </c>
      <c r="C73" s="1" t="s">
        <v>173</v>
      </c>
      <c r="D73" s="1" t="s">
        <v>23</v>
      </c>
      <c r="E73" s="1" t="s">
        <v>57</v>
      </c>
      <c r="F73" s="1" t="s">
        <v>29</v>
      </c>
      <c r="G73" s="1" t="s">
        <v>41</v>
      </c>
      <c r="H73" s="1" t="s">
        <v>31</v>
      </c>
      <c r="I73" s="1">
        <v>3</v>
      </c>
      <c r="J73" s="4">
        <v>130490000</v>
      </c>
      <c r="K73" s="4">
        <v>104922000</v>
      </c>
      <c r="L73" s="4">
        <v>25568000</v>
      </c>
      <c r="M73" s="1" t="s">
        <v>20</v>
      </c>
    </row>
    <row r="74" spans="1:13">
      <c r="A74" s="1" t="s">
        <v>175</v>
      </c>
      <c r="B74" s="3">
        <v>45719</v>
      </c>
      <c r="C74" s="1" t="s">
        <v>123</v>
      </c>
      <c r="D74" s="1" t="s">
        <v>23</v>
      </c>
      <c r="E74" s="1" t="s">
        <v>40</v>
      </c>
      <c r="F74" s="1" t="s">
        <v>29</v>
      </c>
      <c r="G74" s="1" t="s">
        <v>49</v>
      </c>
      <c r="H74" s="1" t="s">
        <v>110</v>
      </c>
      <c r="I74" s="1">
        <v>1</v>
      </c>
      <c r="J74" s="4">
        <v>25527000</v>
      </c>
      <c r="K74" s="4">
        <v>20177000</v>
      </c>
      <c r="L74" s="4">
        <v>5350000</v>
      </c>
      <c r="M74" s="1" t="s">
        <v>20</v>
      </c>
    </row>
    <row r="75" spans="1:13">
      <c r="A75" s="1" t="s">
        <v>176</v>
      </c>
      <c r="B75" s="3">
        <v>45959</v>
      </c>
      <c r="C75" s="1" t="s">
        <v>177</v>
      </c>
      <c r="D75" s="1" t="s">
        <v>23</v>
      </c>
      <c r="E75" s="1" t="s">
        <v>64</v>
      </c>
      <c r="F75" s="1" t="s">
        <v>29</v>
      </c>
      <c r="G75" s="1" t="s">
        <v>41</v>
      </c>
      <c r="H75" s="1" t="s">
        <v>34</v>
      </c>
      <c r="I75" s="1">
        <v>1</v>
      </c>
      <c r="J75" s="4">
        <v>20968000</v>
      </c>
      <c r="K75" s="4">
        <v>17740000</v>
      </c>
      <c r="L75" s="4">
        <v>3228000</v>
      </c>
      <c r="M75" s="1" t="s">
        <v>20</v>
      </c>
    </row>
    <row r="76" spans="1:13">
      <c r="A76" s="1" t="s">
        <v>178</v>
      </c>
      <c r="B76" s="3">
        <v>46020</v>
      </c>
      <c r="C76" s="1" t="s">
        <v>179</v>
      </c>
      <c r="D76" s="1" t="s">
        <v>23</v>
      </c>
      <c r="E76" s="1" t="s">
        <v>57</v>
      </c>
      <c r="F76" s="1" t="s">
        <v>29</v>
      </c>
      <c r="G76" s="1" t="s">
        <v>49</v>
      </c>
      <c r="H76" s="1" t="s">
        <v>34</v>
      </c>
      <c r="I76" s="1">
        <v>3</v>
      </c>
      <c r="J76" s="4">
        <v>130540000</v>
      </c>
      <c r="K76" s="4">
        <v>108602000</v>
      </c>
      <c r="L76" s="4">
        <v>21938000</v>
      </c>
      <c r="M76" s="1" t="s">
        <v>20</v>
      </c>
    </row>
    <row r="77" spans="1:13">
      <c r="A77" s="1" t="s">
        <v>180</v>
      </c>
      <c r="B77" s="3">
        <v>45664</v>
      </c>
      <c r="C77" s="1" t="s">
        <v>181</v>
      </c>
      <c r="D77" s="1" t="s">
        <v>23</v>
      </c>
      <c r="E77" s="1" t="s">
        <v>57</v>
      </c>
      <c r="F77" s="1" t="s">
        <v>29</v>
      </c>
      <c r="G77" s="1" t="s">
        <v>18</v>
      </c>
      <c r="H77" s="1" t="s">
        <v>34</v>
      </c>
      <c r="I77" s="1">
        <v>1</v>
      </c>
      <c r="J77" s="4">
        <v>41451000</v>
      </c>
      <c r="K77" s="4">
        <v>33907000</v>
      </c>
      <c r="L77" s="4">
        <v>7544000</v>
      </c>
      <c r="M77" s="1" t="s">
        <v>69</v>
      </c>
    </row>
    <row r="78" spans="1:13">
      <c r="A78" s="1" t="s">
        <v>182</v>
      </c>
      <c r="B78" s="3">
        <v>45863</v>
      </c>
      <c r="C78" s="1" t="s">
        <v>68</v>
      </c>
      <c r="D78" s="1" t="s">
        <v>15</v>
      </c>
      <c r="E78" s="1" t="s">
        <v>28</v>
      </c>
      <c r="F78" s="1" t="s">
        <v>29</v>
      </c>
      <c r="G78" s="1" t="s">
        <v>30</v>
      </c>
      <c r="H78" s="1" t="s">
        <v>34</v>
      </c>
      <c r="I78" s="1">
        <v>1</v>
      </c>
      <c r="J78" s="4">
        <v>49906000</v>
      </c>
      <c r="K78" s="4">
        <v>44853000</v>
      </c>
      <c r="L78" s="4">
        <v>5053000</v>
      </c>
      <c r="M78" s="1" t="s">
        <v>69</v>
      </c>
    </row>
    <row r="79" spans="1:13">
      <c r="A79" s="1" t="s">
        <v>183</v>
      </c>
      <c r="B79" s="3">
        <v>45943</v>
      </c>
      <c r="C79" s="1" t="s">
        <v>184</v>
      </c>
      <c r="D79" s="1" t="s">
        <v>23</v>
      </c>
      <c r="E79" s="1" t="s">
        <v>40</v>
      </c>
      <c r="F79" s="1" t="s">
        <v>29</v>
      </c>
      <c r="G79" s="1" t="s">
        <v>41</v>
      </c>
      <c r="H79" s="1" t="s">
        <v>19</v>
      </c>
      <c r="I79" s="1">
        <v>1</v>
      </c>
      <c r="J79" s="4">
        <v>23264000</v>
      </c>
      <c r="K79" s="4">
        <v>19845000</v>
      </c>
      <c r="L79" s="4">
        <v>3419000</v>
      </c>
      <c r="M79" s="1" t="s">
        <v>20</v>
      </c>
    </row>
    <row r="80" spans="1:13">
      <c r="A80" s="1" t="s">
        <v>185</v>
      </c>
      <c r="B80" s="3">
        <v>45877</v>
      </c>
      <c r="C80" s="1" t="s">
        <v>48</v>
      </c>
      <c r="D80" s="1" t="s">
        <v>15</v>
      </c>
      <c r="E80" s="1" t="s">
        <v>54</v>
      </c>
      <c r="F80" s="1" t="s">
        <v>17</v>
      </c>
      <c r="G80" s="1" t="s">
        <v>41</v>
      </c>
      <c r="H80" s="1" t="s">
        <v>37</v>
      </c>
      <c r="I80" s="1">
        <v>1</v>
      </c>
      <c r="J80" s="4">
        <v>29532000</v>
      </c>
      <c r="K80" s="4">
        <v>24238000</v>
      </c>
      <c r="L80" s="4">
        <v>5294000</v>
      </c>
      <c r="M80" s="1" t="s">
        <v>20</v>
      </c>
    </row>
    <row r="81" spans="1:13">
      <c r="A81" s="1" t="s">
        <v>186</v>
      </c>
      <c r="B81" s="3">
        <v>45699</v>
      </c>
      <c r="C81" s="1" t="s">
        <v>187</v>
      </c>
      <c r="D81" s="1" t="s">
        <v>23</v>
      </c>
      <c r="E81" s="1" t="s">
        <v>16</v>
      </c>
      <c r="F81" s="1" t="s">
        <v>17</v>
      </c>
      <c r="G81" s="1" t="s">
        <v>18</v>
      </c>
      <c r="H81" s="1" t="s">
        <v>31</v>
      </c>
      <c r="I81" s="1">
        <v>1</v>
      </c>
      <c r="J81" s="4">
        <v>16926000</v>
      </c>
      <c r="K81" s="4">
        <v>14428000</v>
      </c>
      <c r="L81" s="4">
        <v>2498000</v>
      </c>
      <c r="M81" s="1" t="s">
        <v>20</v>
      </c>
    </row>
    <row r="82" spans="1:13">
      <c r="A82" s="1" t="s">
        <v>188</v>
      </c>
      <c r="B82" s="3">
        <v>45805</v>
      </c>
      <c r="C82" s="1" t="s">
        <v>53</v>
      </c>
      <c r="D82" s="1" t="s">
        <v>15</v>
      </c>
      <c r="E82" s="1" t="s">
        <v>40</v>
      </c>
      <c r="F82" s="1" t="s">
        <v>29</v>
      </c>
      <c r="G82" s="1" t="s">
        <v>24</v>
      </c>
      <c r="H82" s="1" t="s">
        <v>37</v>
      </c>
      <c r="I82" s="1">
        <v>1</v>
      </c>
      <c r="J82" s="4">
        <v>24705000</v>
      </c>
      <c r="K82" s="4">
        <v>20639000</v>
      </c>
      <c r="L82" s="4">
        <v>4066000</v>
      </c>
      <c r="M82" s="1" t="s">
        <v>20</v>
      </c>
    </row>
    <row r="83" spans="1:13">
      <c r="A83" s="1" t="s">
        <v>189</v>
      </c>
      <c r="B83" s="3">
        <v>45759</v>
      </c>
      <c r="C83" s="1" t="s">
        <v>190</v>
      </c>
      <c r="D83" s="1" t="s">
        <v>23</v>
      </c>
      <c r="E83" s="1" t="s">
        <v>44</v>
      </c>
      <c r="F83" s="1" t="s">
        <v>17</v>
      </c>
      <c r="G83" s="1" t="s">
        <v>41</v>
      </c>
      <c r="H83" s="1" t="s">
        <v>19</v>
      </c>
      <c r="I83" s="1">
        <v>1</v>
      </c>
      <c r="J83" s="4">
        <v>28039000</v>
      </c>
      <c r="K83" s="4">
        <v>22512000</v>
      </c>
      <c r="L83" s="4">
        <v>5527000</v>
      </c>
      <c r="M83" s="1" t="s">
        <v>20</v>
      </c>
    </row>
    <row r="84" spans="1:13">
      <c r="A84" s="1" t="s">
        <v>191</v>
      </c>
      <c r="B84" s="3">
        <v>45949</v>
      </c>
      <c r="C84" s="1" t="s">
        <v>192</v>
      </c>
      <c r="D84" s="1" t="s">
        <v>23</v>
      </c>
      <c r="E84" s="1" t="s">
        <v>64</v>
      </c>
      <c r="F84" s="1" t="s">
        <v>29</v>
      </c>
      <c r="G84" s="1" t="s">
        <v>49</v>
      </c>
      <c r="H84" s="1" t="s">
        <v>25</v>
      </c>
      <c r="I84" s="1">
        <v>1</v>
      </c>
      <c r="J84" s="4">
        <v>21550000</v>
      </c>
      <c r="K84" s="4">
        <v>18122000</v>
      </c>
      <c r="L84" s="4">
        <v>3428000</v>
      </c>
      <c r="M84" s="1" t="s">
        <v>20</v>
      </c>
    </row>
    <row r="85" spans="1:13">
      <c r="A85" s="1" t="s">
        <v>193</v>
      </c>
      <c r="B85" s="3">
        <v>45699</v>
      </c>
      <c r="C85" s="1" t="s">
        <v>194</v>
      </c>
      <c r="D85" s="1" t="s">
        <v>15</v>
      </c>
      <c r="E85" s="1" t="s">
        <v>57</v>
      </c>
      <c r="F85" s="1" t="s">
        <v>29</v>
      </c>
      <c r="G85" s="1" t="s">
        <v>24</v>
      </c>
      <c r="H85" s="1" t="s">
        <v>19</v>
      </c>
      <c r="I85" s="1">
        <v>1</v>
      </c>
      <c r="J85" s="4">
        <v>43795000</v>
      </c>
      <c r="K85" s="4">
        <v>33817000</v>
      </c>
      <c r="L85" s="4">
        <v>9978000</v>
      </c>
      <c r="M85" s="1" t="s">
        <v>20</v>
      </c>
    </row>
    <row r="86" spans="1:13">
      <c r="A86" s="1" t="s">
        <v>195</v>
      </c>
      <c r="B86" s="3">
        <v>45668</v>
      </c>
      <c r="C86" s="1" t="s">
        <v>196</v>
      </c>
      <c r="D86" s="1" t="s">
        <v>15</v>
      </c>
      <c r="E86" s="1" t="s">
        <v>64</v>
      </c>
      <c r="F86" s="1" t="s">
        <v>29</v>
      </c>
      <c r="G86" s="1" t="s">
        <v>49</v>
      </c>
      <c r="H86" s="1" t="s">
        <v>110</v>
      </c>
      <c r="I86" s="1">
        <v>1</v>
      </c>
      <c r="J86" s="4">
        <v>20795000</v>
      </c>
      <c r="K86" s="4">
        <v>18769000</v>
      </c>
      <c r="L86" s="4">
        <v>2026000</v>
      </c>
      <c r="M86" s="1" t="s">
        <v>20</v>
      </c>
    </row>
    <row r="87" spans="1:13">
      <c r="A87" s="1" t="s">
        <v>197</v>
      </c>
      <c r="B87" s="3">
        <v>45750</v>
      </c>
      <c r="C87" s="1" t="s">
        <v>198</v>
      </c>
      <c r="D87" s="1" t="s">
        <v>23</v>
      </c>
      <c r="E87" s="1" t="s">
        <v>64</v>
      </c>
      <c r="F87" s="1" t="s">
        <v>29</v>
      </c>
      <c r="G87" s="1" t="s">
        <v>18</v>
      </c>
      <c r="H87" s="1" t="s">
        <v>31</v>
      </c>
      <c r="I87" s="1">
        <v>1</v>
      </c>
      <c r="J87" s="4">
        <v>23451000</v>
      </c>
      <c r="K87" s="4">
        <v>18245000</v>
      </c>
      <c r="L87" s="4">
        <v>5206000</v>
      </c>
      <c r="M87" s="1" t="s">
        <v>20</v>
      </c>
    </row>
    <row r="88" spans="1:13">
      <c r="A88" s="1" t="s">
        <v>199</v>
      </c>
      <c r="B88" s="3">
        <v>45826</v>
      </c>
      <c r="C88" s="1" t="s">
        <v>200</v>
      </c>
      <c r="D88" s="1" t="s">
        <v>23</v>
      </c>
      <c r="E88" s="1" t="s">
        <v>44</v>
      </c>
      <c r="F88" s="1" t="s">
        <v>17</v>
      </c>
      <c r="G88" s="1" t="s">
        <v>41</v>
      </c>
      <c r="H88" s="1" t="s">
        <v>110</v>
      </c>
      <c r="I88" s="1">
        <v>1</v>
      </c>
      <c r="J88" s="4">
        <v>18928000</v>
      </c>
      <c r="K88" s="4">
        <v>22368000</v>
      </c>
      <c r="L88" s="4">
        <v>-3440000</v>
      </c>
      <c r="M88" s="1" t="s">
        <v>20</v>
      </c>
    </row>
    <row r="89" spans="1:13">
      <c r="A89" s="1" t="s">
        <v>201</v>
      </c>
      <c r="B89" s="3">
        <v>45823</v>
      </c>
      <c r="C89" s="1" t="s">
        <v>167</v>
      </c>
      <c r="D89" s="1" t="s">
        <v>15</v>
      </c>
      <c r="E89" s="1" t="s">
        <v>16</v>
      </c>
      <c r="F89" s="1" t="s">
        <v>17</v>
      </c>
      <c r="G89" s="1" t="s">
        <v>49</v>
      </c>
      <c r="H89" s="1" t="s">
        <v>34</v>
      </c>
      <c r="I89" s="1">
        <v>2</v>
      </c>
      <c r="J89" s="4">
        <v>27144000</v>
      </c>
      <c r="K89" s="4">
        <v>27553000</v>
      </c>
      <c r="L89" s="4">
        <v>-409000</v>
      </c>
      <c r="M89" s="1" t="s">
        <v>20</v>
      </c>
    </row>
    <row r="90" spans="1:13">
      <c r="A90" s="1" t="s">
        <v>202</v>
      </c>
      <c r="B90" s="3">
        <v>45754</v>
      </c>
      <c r="C90" s="1" t="s">
        <v>203</v>
      </c>
      <c r="D90" s="1" t="s">
        <v>15</v>
      </c>
      <c r="E90" s="1" t="s">
        <v>28</v>
      </c>
      <c r="F90" s="1" t="s">
        <v>29</v>
      </c>
      <c r="G90" s="1" t="s">
        <v>41</v>
      </c>
      <c r="H90" s="1" t="s">
        <v>25</v>
      </c>
      <c r="I90" s="1">
        <v>1</v>
      </c>
      <c r="J90" s="4">
        <v>51868000</v>
      </c>
      <c r="K90" s="4">
        <v>41550000</v>
      </c>
      <c r="L90" s="4">
        <v>10318000</v>
      </c>
      <c r="M90" s="1" t="s">
        <v>20</v>
      </c>
    </row>
    <row r="91" spans="1:13">
      <c r="A91" s="1" t="s">
        <v>204</v>
      </c>
      <c r="B91" s="3">
        <v>46015</v>
      </c>
      <c r="C91" s="1" t="s">
        <v>205</v>
      </c>
      <c r="D91" s="1" t="s">
        <v>23</v>
      </c>
      <c r="E91" s="1" t="s">
        <v>28</v>
      </c>
      <c r="F91" s="1" t="s">
        <v>29</v>
      </c>
      <c r="G91" s="1" t="s">
        <v>24</v>
      </c>
      <c r="H91" s="1" t="s">
        <v>25</v>
      </c>
      <c r="I91" s="1">
        <v>1</v>
      </c>
      <c r="J91" s="4">
        <v>54283000</v>
      </c>
      <c r="K91" s="4">
        <v>44413000</v>
      </c>
      <c r="L91" s="4">
        <v>9870000</v>
      </c>
      <c r="M91" s="1" t="s">
        <v>20</v>
      </c>
    </row>
    <row r="92" spans="1:13">
      <c r="A92" s="1" t="s">
        <v>206</v>
      </c>
      <c r="B92" s="3">
        <v>45705</v>
      </c>
      <c r="C92" s="1" t="s">
        <v>114</v>
      </c>
      <c r="D92" s="1" t="s">
        <v>15</v>
      </c>
      <c r="E92" s="1" t="s">
        <v>54</v>
      </c>
      <c r="F92" s="1" t="s">
        <v>17</v>
      </c>
      <c r="G92" s="1" t="s">
        <v>41</v>
      </c>
      <c r="H92" s="1" t="s">
        <v>19</v>
      </c>
      <c r="I92" s="1">
        <v>1</v>
      </c>
      <c r="J92" s="4">
        <v>30299000</v>
      </c>
      <c r="K92" s="4">
        <v>23543000</v>
      </c>
      <c r="L92" s="4">
        <v>6756000</v>
      </c>
      <c r="M92" s="1" t="s">
        <v>20</v>
      </c>
    </row>
    <row r="93" spans="1:13">
      <c r="A93" s="1" t="s">
        <v>207</v>
      </c>
      <c r="B93" s="3">
        <v>46019</v>
      </c>
      <c r="C93" s="1" t="s">
        <v>208</v>
      </c>
      <c r="D93" s="1" t="s">
        <v>15</v>
      </c>
      <c r="E93" s="1" t="s">
        <v>54</v>
      </c>
      <c r="F93" s="1" t="s">
        <v>17</v>
      </c>
      <c r="G93" s="1" t="s">
        <v>24</v>
      </c>
      <c r="H93" s="1" t="s">
        <v>19</v>
      </c>
      <c r="I93" s="1">
        <v>3</v>
      </c>
      <c r="J93" s="4">
        <v>83079000</v>
      </c>
      <c r="K93" s="4">
        <v>69957000</v>
      </c>
      <c r="L93" s="4">
        <v>13122000</v>
      </c>
      <c r="M93" s="1" t="s">
        <v>20</v>
      </c>
    </row>
    <row r="94" spans="1:13">
      <c r="A94" s="1" t="s">
        <v>209</v>
      </c>
      <c r="B94" s="3">
        <v>45727</v>
      </c>
      <c r="C94" s="1" t="s">
        <v>210</v>
      </c>
      <c r="D94" s="1" t="s">
        <v>23</v>
      </c>
      <c r="E94" s="1" t="s">
        <v>64</v>
      </c>
      <c r="F94" s="1" t="s">
        <v>29</v>
      </c>
      <c r="G94" s="1" t="s">
        <v>18</v>
      </c>
      <c r="H94" s="1" t="s">
        <v>110</v>
      </c>
      <c r="I94" s="1">
        <v>1</v>
      </c>
      <c r="J94" s="4">
        <v>21867000</v>
      </c>
      <c r="K94" s="4">
        <v>19095000</v>
      </c>
      <c r="L94" s="4">
        <v>2772000</v>
      </c>
      <c r="M94" s="1" t="s">
        <v>20</v>
      </c>
    </row>
    <row r="95" spans="1:13">
      <c r="A95" s="1" t="s">
        <v>211</v>
      </c>
      <c r="B95" s="3">
        <v>45810</v>
      </c>
      <c r="C95" s="1" t="s">
        <v>105</v>
      </c>
      <c r="D95" s="1" t="s">
        <v>15</v>
      </c>
      <c r="E95" s="1" t="s">
        <v>40</v>
      </c>
      <c r="F95" s="1" t="s">
        <v>29</v>
      </c>
      <c r="G95" s="1" t="s">
        <v>24</v>
      </c>
      <c r="H95" s="1" t="s">
        <v>19</v>
      </c>
      <c r="I95" s="1">
        <v>1</v>
      </c>
      <c r="J95" s="4">
        <v>18187000</v>
      </c>
      <c r="K95" s="4">
        <v>19694000</v>
      </c>
      <c r="L95" s="4">
        <v>-1507000</v>
      </c>
      <c r="M95" s="1" t="s">
        <v>20</v>
      </c>
    </row>
    <row r="96" spans="1:13">
      <c r="A96" s="1" t="s">
        <v>212</v>
      </c>
      <c r="B96" s="3">
        <v>45851</v>
      </c>
      <c r="C96" s="1" t="s">
        <v>46</v>
      </c>
      <c r="D96" s="1" t="s">
        <v>23</v>
      </c>
      <c r="E96" s="1" t="s">
        <v>28</v>
      </c>
      <c r="F96" s="1" t="s">
        <v>29</v>
      </c>
      <c r="G96" s="1" t="s">
        <v>49</v>
      </c>
      <c r="H96" s="1" t="s">
        <v>34</v>
      </c>
      <c r="I96" s="1">
        <v>1</v>
      </c>
      <c r="J96" s="4">
        <v>53595000</v>
      </c>
      <c r="K96" s="4">
        <v>43812000</v>
      </c>
      <c r="L96" s="4">
        <v>9783000</v>
      </c>
      <c r="M96" s="1" t="s">
        <v>20</v>
      </c>
    </row>
    <row r="97" spans="1:13">
      <c r="A97" s="1" t="s">
        <v>213</v>
      </c>
      <c r="B97" s="3">
        <v>45820</v>
      </c>
      <c r="C97" s="1" t="s">
        <v>214</v>
      </c>
      <c r="D97" s="1" t="s">
        <v>15</v>
      </c>
      <c r="E97" s="1" t="s">
        <v>40</v>
      </c>
      <c r="F97" s="1" t="s">
        <v>29</v>
      </c>
      <c r="G97" s="1" t="s">
        <v>49</v>
      </c>
      <c r="H97" s="1" t="s">
        <v>34</v>
      </c>
      <c r="I97" s="1">
        <v>1</v>
      </c>
      <c r="J97" s="4">
        <v>17110000</v>
      </c>
      <c r="K97" s="4">
        <v>20124000</v>
      </c>
      <c r="L97" s="4">
        <v>-3014000</v>
      </c>
      <c r="M97" s="1" t="s">
        <v>20</v>
      </c>
    </row>
    <row r="98" spans="1:13">
      <c r="A98" s="1" t="s">
        <v>215</v>
      </c>
      <c r="B98" s="3">
        <v>45722</v>
      </c>
      <c r="C98" s="1" t="s">
        <v>59</v>
      </c>
      <c r="D98" s="1" t="s">
        <v>15</v>
      </c>
      <c r="E98" s="1" t="s">
        <v>28</v>
      </c>
      <c r="F98" s="1" t="s">
        <v>29</v>
      </c>
      <c r="G98" s="1" t="s">
        <v>18</v>
      </c>
      <c r="H98" s="1" t="s">
        <v>37</v>
      </c>
      <c r="I98" s="1">
        <v>2</v>
      </c>
      <c r="J98" s="4">
        <v>109579000</v>
      </c>
      <c r="K98" s="4">
        <v>86481000</v>
      </c>
      <c r="L98" s="4">
        <v>23098000</v>
      </c>
      <c r="M98" s="1" t="s">
        <v>20</v>
      </c>
    </row>
    <row r="99" spans="1:13">
      <c r="A99" s="1" t="s">
        <v>216</v>
      </c>
      <c r="B99" s="3">
        <v>45731</v>
      </c>
      <c r="C99" s="1" t="s">
        <v>217</v>
      </c>
      <c r="D99" s="1" t="s">
        <v>15</v>
      </c>
      <c r="E99" s="1" t="s">
        <v>44</v>
      </c>
      <c r="F99" s="1" t="s">
        <v>17</v>
      </c>
      <c r="G99" s="1" t="s">
        <v>49</v>
      </c>
      <c r="H99" s="1" t="s">
        <v>37</v>
      </c>
      <c r="I99" s="1">
        <v>1</v>
      </c>
      <c r="J99" s="4">
        <v>26527000</v>
      </c>
      <c r="K99" s="4">
        <v>22823000</v>
      </c>
      <c r="L99" s="4">
        <v>3704000</v>
      </c>
      <c r="M99" s="1" t="s">
        <v>20</v>
      </c>
    </row>
    <row r="100" spans="1:13">
      <c r="A100" s="1" t="s">
        <v>218</v>
      </c>
      <c r="B100" s="3">
        <v>45699</v>
      </c>
      <c r="C100" s="1" t="s">
        <v>219</v>
      </c>
      <c r="D100" s="1" t="s">
        <v>15</v>
      </c>
      <c r="E100" s="1" t="s">
        <v>64</v>
      </c>
      <c r="F100" s="1" t="s">
        <v>29</v>
      </c>
      <c r="G100" s="1" t="s">
        <v>49</v>
      </c>
      <c r="H100" s="1" t="s">
        <v>19</v>
      </c>
      <c r="I100" s="1">
        <v>2</v>
      </c>
      <c r="J100" s="4">
        <v>43534000</v>
      </c>
      <c r="K100" s="4">
        <v>35929000</v>
      </c>
      <c r="L100" s="4">
        <v>7605000</v>
      </c>
      <c r="M100" s="1" t="s">
        <v>20</v>
      </c>
    </row>
    <row r="101" spans="1:13">
      <c r="A101" s="1" t="s">
        <v>220</v>
      </c>
      <c r="B101" s="3">
        <v>45676</v>
      </c>
      <c r="C101" s="1" t="s">
        <v>97</v>
      </c>
      <c r="D101" s="1" t="s">
        <v>23</v>
      </c>
      <c r="E101" s="1" t="s">
        <v>57</v>
      </c>
      <c r="F101" s="1" t="s">
        <v>29</v>
      </c>
      <c r="G101" s="1" t="s">
        <v>18</v>
      </c>
      <c r="H101" s="1" t="s">
        <v>25</v>
      </c>
      <c r="I101" s="1">
        <v>1</v>
      </c>
      <c r="J101" s="4">
        <v>42026000</v>
      </c>
      <c r="K101" s="4">
        <v>34533000</v>
      </c>
      <c r="L101" s="4">
        <v>7493000</v>
      </c>
      <c r="M101" s="1" t="s">
        <v>20</v>
      </c>
    </row>
    <row r="102" spans="1:13">
      <c r="A102" s="1" t="s">
        <v>221</v>
      </c>
      <c r="B102" s="3">
        <v>45743</v>
      </c>
      <c r="C102" s="1" t="s">
        <v>222</v>
      </c>
      <c r="D102" s="1" t="s">
        <v>15</v>
      </c>
      <c r="E102" s="1" t="s">
        <v>40</v>
      </c>
      <c r="F102" s="1" t="s">
        <v>29</v>
      </c>
      <c r="G102" s="1" t="s">
        <v>30</v>
      </c>
      <c r="H102" s="1" t="s">
        <v>19</v>
      </c>
      <c r="I102" s="1">
        <v>1</v>
      </c>
      <c r="J102" s="4">
        <v>25044000</v>
      </c>
      <c r="K102" s="4">
        <v>19391000</v>
      </c>
      <c r="L102" s="4">
        <v>5653000</v>
      </c>
      <c r="M102" s="1" t="s">
        <v>20</v>
      </c>
    </row>
    <row r="103" spans="1:13">
      <c r="A103" s="1" t="s">
        <v>223</v>
      </c>
      <c r="B103" s="3">
        <v>45868</v>
      </c>
      <c r="C103" s="1" t="s">
        <v>224</v>
      </c>
      <c r="D103" s="1" t="s">
        <v>15</v>
      </c>
      <c r="E103" s="1" t="s">
        <v>57</v>
      </c>
      <c r="F103" s="1" t="s">
        <v>29</v>
      </c>
      <c r="G103" s="1" t="s">
        <v>49</v>
      </c>
      <c r="H103" s="1" t="s">
        <v>19</v>
      </c>
      <c r="I103" s="1">
        <v>1</v>
      </c>
      <c r="J103" s="4">
        <v>40861000</v>
      </c>
      <c r="K103" s="4">
        <v>36816000</v>
      </c>
      <c r="L103" s="4">
        <v>4045000</v>
      </c>
      <c r="M103" s="1" t="s">
        <v>20</v>
      </c>
    </row>
    <row r="104" spans="1:13">
      <c r="A104" s="1" t="s">
        <v>225</v>
      </c>
      <c r="B104" s="3">
        <v>45731</v>
      </c>
      <c r="C104" s="1" t="s">
        <v>87</v>
      </c>
      <c r="D104" s="1" t="s">
        <v>15</v>
      </c>
      <c r="E104" s="1" t="s">
        <v>54</v>
      </c>
      <c r="F104" s="1" t="s">
        <v>17</v>
      </c>
      <c r="G104" s="1" t="s">
        <v>24</v>
      </c>
      <c r="H104" s="1" t="s">
        <v>31</v>
      </c>
      <c r="I104" s="1">
        <v>1</v>
      </c>
      <c r="J104" s="4">
        <v>29261000</v>
      </c>
      <c r="K104" s="4">
        <v>24125000</v>
      </c>
      <c r="L104" s="4">
        <v>5136000</v>
      </c>
      <c r="M104" s="1" t="s">
        <v>20</v>
      </c>
    </row>
    <row r="105" spans="1:13">
      <c r="A105" s="1" t="s">
        <v>226</v>
      </c>
      <c r="B105" s="3">
        <v>45695</v>
      </c>
      <c r="C105" s="1" t="s">
        <v>227</v>
      </c>
      <c r="D105" s="1" t="s">
        <v>23</v>
      </c>
      <c r="E105" s="1" t="s">
        <v>44</v>
      </c>
      <c r="F105" s="1" t="s">
        <v>17</v>
      </c>
      <c r="G105" s="1" t="s">
        <v>41</v>
      </c>
      <c r="H105" s="1" t="s">
        <v>31</v>
      </c>
      <c r="I105" s="1">
        <v>1</v>
      </c>
      <c r="J105" s="4">
        <v>27111000</v>
      </c>
      <c r="K105" s="4">
        <v>21635000</v>
      </c>
      <c r="L105" s="4">
        <v>5476000</v>
      </c>
      <c r="M105" s="1" t="s">
        <v>20</v>
      </c>
    </row>
    <row r="106" spans="1:13">
      <c r="A106" s="1" t="s">
        <v>228</v>
      </c>
      <c r="B106" s="3">
        <v>45854</v>
      </c>
      <c r="C106" s="1" t="s">
        <v>229</v>
      </c>
      <c r="D106" s="1" t="s">
        <v>23</v>
      </c>
      <c r="E106" s="1" t="s">
        <v>64</v>
      </c>
      <c r="F106" s="1" t="s">
        <v>29</v>
      </c>
      <c r="G106" s="1" t="s">
        <v>49</v>
      </c>
      <c r="H106" s="1" t="s">
        <v>110</v>
      </c>
      <c r="I106" s="1">
        <v>1</v>
      </c>
      <c r="J106" s="4">
        <v>21707000</v>
      </c>
      <c r="K106" s="4">
        <v>17926000</v>
      </c>
      <c r="L106" s="4">
        <v>3781000</v>
      </c>
      <c r="M106" s="1" t="s">
        <v>20</v>
      </c>
    </row>
    <row r="107" spans="1:13">
      <c r="A107" s="1" t="s">
        <v>230</v>
      </c>
      <c r="B107" s="3">
        <v>45662</v>
      </c>
      <c r="C107" s="1" t="s">
        <v>231</v>
      </c>
      <c r="D107" s="1" t="s">
        <v>15</v>
      </c>
      <c r="E107" s="1" t="s">
        <v>57</v>
      </c>
      <c r="F107" s="1" t="s">
        <v>29</v>
      </c>
      <c r="G107" s="1" t="s">
        <v>41</v>
      </c>
      <c r="H107" s="1" t="s">
        <v>31</v>
      </c>
      <c r="I107" s="1">
        <v>1</v>
      </c>
      <c r="J107" s="4">
        <v>40694000</v>
      </c>
      <c r="K107" s="4">
        <v>35878000</v>
      </c>
      <c r="L107" s="4">
        <v>4816000</v>
      </c>
      <c r="M107" s="1" t="s">
        <v>20</v>
      </c>
    </row>
    <row r="108" spans="1:13">
      <c r="A108" s="1" t="s">
        <v>232</v>
      </c>
      <c r="B108" s="3">
        <v>45968</v>
      </c>
      <c r="C108" s="1" t="s">
        <v>233</v>
      </c>
      <c r="D108" s="1" t="s">
        <v>23</v>
      </c>
      <c r="E108" s="1" t="s">
        <v>40</v>
      </c>
      <c r="F108" s="1" t="s">
        <v>29</v>
      </c>
      <c r="G108" s="1" t="s">
        <v>30</v>
      </c>
      <c r="H108" s="1" t="s">
        <v>37</v>
      </c>
      <c r="I108" s="1">
        <v>1</v>
      </c>
      <c r="J108" s="4">
        <v>19140000</v>
      </c>
      <c r="K108" s="4">
        <v>20306000</v>
      </c>
      <c r="L108" s="4">
        <v>-1166000</v>
      </c>
      <c r="M108" s="1" t="s">
        <v>20</v>
      </c>
    </row>
    <row r="109" spans="1:13">
      <c r="A109" s="1" t="s">
        <v>234</v>
      </c>
      <c r="B109" s="3">
        <v>45707</v>
      </c>
      <c r="C109" s="1" t="s">
        <v>235</v>
      </c>
      <c r="D109" s="1" t="s">
        <v>15</v>
      </c>
      <c r="E109" s="1" t="s">
        <v>64</v>
      </c>
      <c r="F109" s="1" t="s">
        <v>29</v>
      </c>
      <c r="G109" s="1" t="s">
        <v>41</v>
      </c>
      <c r="H109" s="1" t="s">
        <v>110</v>
      </c>
      <c r="I109" s="1">
        <v>1</v>
      </c>
      <c r="J109" s="4">
        <v>21941000</v>
      </c>
      <c r="K109" s="4">
        <v>18446000</v>
      </c>
      <c r="L109" s="4">
        <v>3495000</v>
      </c>
      <c r="M109" s="1" t="s">
        <v>20</v>
      </c>
    </row>
    <row r="110" spans="1:13">
      <c r="A110" s="1" t="s">
        <v>236</v>
      </c>
      <c r="B110" s="3">
        <v>45870</v>
      </c>
      <c r="C110" s="1" t="s">
        <v>237</v>
      </c>
      <c r="D110" s="1" t="s">
        <v>23</v>
      </c>
      <c r="E110" s="1" t="s">
        <v>16</v>
      </c>
      <c r="F110" s="1" t="s">
        <v>17</v>
      </c>
      <c r="G110" s="1" t="s">
        <v>30</v>
      </c>
      <c r="H110" s="1" t="s">
        <v>110</v>
      </c>
      <c r="I110" s="1">
        <v>1</v>
      </c>
      <c r="J110" s="4">
        <v>19193000</v>
      </c>
      <c r="K110" s="4">
        <v>14545000</v>
      </c>
      <c r="L110" s="4">
        <v>4648000</v>
      </c>
      <c r="M110" s="1" t="s">
        <v>20</v>
      </c>
    </row>
    <row r="111" spans="1:13">
      <c r="A111" s="1" t="s">
        <v>238</v>
      </c>
      <c r="B111" s="3">
        <v>45904</v>
      </c>
      <c r="C111" s="1" t="s">
        <v>239</v>
      </c>
      <c r="D111" s="1" t="s">
        <v>23</v>
      </c>
      <c r="E111" s="1" t="s">
        <v>64</v>
      </c>
      <c r="F111" s="1" t="s">
        <v>29</v>
      </c>
      <c r="G111" s="1" t="s">
        <v>30</v>
      </c>
      <c r="H111" s="1" t="s">
        <v>37</v>
      </c>
      <c r="I111" s="1">
        <v>2</v>
      </c>
      <c r="J111" s="4">
        <v>45960000</v>
      </c>
      <c r="K111" s="4">
        <v>36484000</v>
      </c>
      <c r="L111" s="4">
        <v>9476000</v>
      </c>
      <c r="M111" s="1" t="s">
        <v>20</v>
      </c>
    </row>
    <row r="112" spans="1:13">
      <c r="A112" s="1" t="s">
        <v>240</v>
      </c>
      <c r="B112" s="3">
        <v>46003</v>
      </c>
      <c r="C112" s="1" t="s">
        <v>241</v>
      </c>
      <c r="D112" s="1" t="s">
        <v>15</v>
      </c>
      <c r="E112" s="1" t="s">
        <v>64</v>
      </c>
      <c r="F112" s="1" t="s">
        <v>29</v>
      </c>
      <c r="G112" s="1" t="s">
        <v>18</v>
      </c>
      <c r="H112" s="1" t="s">
        <v>25</v>
      </c>
      <c r="I112" s="1">
        <v>1</v>
      </c>
      <c r="J112" s="4">
        <v>21726000</v>
      </c>
      <c r="K112" s="4">
        <v>18832000</v>
      </c>
      <c r="L112" s="4">
        <v>2894000</v>
      </c>
      <c r="M112" s="1" t="s">
        <v>20</v>
      </c>
    </row>
    <row r="113" spans="1:13">
      <c r="A113" s="1" t="s">
        <v>242</v>
      </c>
      <c r="B113" s="3">
        <v>45846</v>
      </c>
      <c r="C113" s="1" t="s">
        <v>243</v>
      </c>
      <c r="D113" s="1" t="s">
        <v>15</v>
      </c>
      <c r="E113" s="1" t="s">
        <v>60</v>
      </c>
      <c r="F113" s="1" t="s">
        <v>61</v>
      </c>
      <c r="G113" s="1" t="s">
        <v>49</v>
      </c>
      <c r="H113" s="1" t="s">
        <v>34</v>
      </c>
      <c r="I113" s="1">
        <v>1</v>
      </c>
      <c r="J113" s="4">
        <v>63862000</v>
      </c>
      <c r="K113" s="4">
        <v>52723000</v>
      </c>
      <c r="L113" s="4">
        <v>11139000</v>
      </c>
      <c r="M113" s="1" t="s">
        <v>20</v>
      </c>
    </row>
    <row r="114" spans="1:13">
      <c r="A114" s="1" t="s">
        <v>244</v>
      </c>
      <c r="B114" s="3">
        <v>45975</v>
      </c>
      <c r="C114" s="1" t="s">
        <v>139</v>
      </c>
      <c r="D114" s="1" t="s">
        <v>23</v>
      </c>
      <c r="E114" s="1" t="s">
        <v>64</v>
      </c>
      <c r="F114" s="1" t="s">
        <v>29</v>
      </c>
      <c r="G114" s="1" t="s">
        <v>41</v>
      </c>
      <c r="H114" s="1" t="s">
        <v>37</v>
      </c>
      <c r="I114" s="1">
        <v>2</v>
      </c>
      <c r="J114" s="4">
        <v>34954000</v>
      </c>
      <c r="K114" s="4">
        <v>35001000</v>
      </c>
      <c r="L114" s="4">
        <v>-47000</v>
      </c>
      <c r="M114" s="1" t="s">
        <v>20</v>
      </c>
    </row>
    <row r="115" spans="1:13">
      <c r="A115" s="1" t="s">
        <v>245</v>
      </c>
      <c r="B115" s="3">
        <v>45867</v>
      </c>
      <c r="C115" s="1" t="s">
        <v>241</v>
      </c>
      <c r="D115" s="1" t="s">
        <v>23</v>
      </c>
      <c r="E115" s="1" t="s">
        <v>16</v>
      </c>
      <c r="F115" s="1" t="s">
        <v>17</v>
      </c>
      <c r="G115" s="1" t="s">
        <v>30</v>
      </c>
      <c r="H115" s="1" t="s">
        <v>25</v>
      </c>
      <c r="I115" s="1">
        <v>1</v>
      </c>
      <c r="J115" s="4">
        <v>19250000</v>
      </c>
      <c r="K115" s="4">
        <v>13943000</v>
      </c>
      <c r="L115" s="4">
        <v>5307000</v>
      </c>
      <c r="M115" s="1" t="s">
        <v>20</v>
      </c>
    </row>
    <row r="116" spans="1:13">
      <c r="A116" s="1" t="s">
        <v>246</v>
      </c>
      <c r="B116" s="3">
        <v>45890</v>
      </c>
      <c r="C116" s="1" t="s">
        <v>247</v>
      </c>
      <c r="D116" s="1" t="s">
        <v>15</v>
      </c>
      <c r="E116" s="1" t="s">
        <v>44</v>
      </c>
      <c r="F116" s="1" t="s">
        <v>17</v>
      </c>
      <c r="G116" s="1" t="s">
        <v>49</v>
      </c>
      <c r="H116" s="1" t="s">
        <v>37</v>
      </c>
      <c r="I116" s="1">
        <v>1</v>
      </c>
      <c r="J116" s="4">
        <v>26771000</v>
      </c>
      <c r="K116" s="4">
        <v>21990000</v>
      </c>
      <c r="L116" s="4">
        <v>4781000</v>
      </c>
      <c r="M116" s="1" t="s">
        <v>20</v>
      </c>
    </row>
    <row r="117" spans="1:13">
      <c r="A117" s="1" t="s">
        <v>248</v>
      </c>
      <c r="B117" s="3">
        <v>45708</v>
      </c>
      <c r="C117" s="1" t="s">
        <v>184</v>
      </c>
      <c r="D117" s="1" t="s">
        <v>15</v>
      </c>
      <c r="E117" s="1" t="s">
        <v>40</v>
      </c>
      <c r="F117" s="1" t="s">
        <v>29</v>
      </c>
      <c r="G117" s="1" t="s">
        <v>30</v>
      </c>
      <c r="H117" s="1" t="s">
        <v>110</v>
      </c>
      <c r="I117" s="1">
        <v>2</v>
      </c>
      <c r="J117" s="4">
        <v>46866000</v>
      </c>
      <c r="K117" s="4">
        <v>40354000</v>
      </c>
      <c r="L117" s="4">
        <v>6512000</v>
      </c>
      <c r="M117" s="1" t="s">
        <v>20</v>
      </c>
    </row>
    <row r="118" spans="1:13">
      <c r="A118" s="1" t="s">
        <v>249</v>
      </c>
      <c r="B118" s="3">
        <v>45708</v>
      </c>
      <c r="C118" s="1" t="s">
        <v>250</v>
      </c>
      <c r="D118" s="1" t="s">
        <v>23</v>
      </c>
      <c r="E118" s="1" t="s">
        <v>64</v>
      </c>
      <c r="F118" s="1" t="s">
        <v>29</v>
      </c>
      <c r="G118" s="1" t="s">
        <v>18</v>
      </c>
      <c r="H118" s="1" t="s">
        <v>25</v>
      </c>
      <c r="I118" s="1">
        <v>2</v>
      </c>
      <c r="J118" s="4">
        <v>45048000</v>
      </c>
      <c r="K118" s="4">
        <v>34992000</v>
      </c>
      <c r="L118" s="4">
        <v>10056000</v>
      </c>
      <c r="M118" s="1" t="s">
        <v>20</v>
      </c>
    </row>
    <row r="119" spans="1:13">
      <c r="A119" s="1" t="s">
        <v>251</v>
      </c>
      <c r="B119" s="3">
        <v>45704</v>
      </c>
      <c r="C119" s="1" t="s">
        <v>252</v>
      </c>
      <c r="D119" s="1" t="s">
        <v>15</v>
      </c>
      <c r="E119" s="1" t="s">
        <v>60</v>
      </c>
      <c r="F119" s="1" t="s">
        <v>61</v>
      </c>
      <c r="G119" s="1" t="s">
        <v>24</v>
      </c>
      <c r="H119" s="1" t="s">
        <v>31</v>
      </c>
      <c r="I119" s="1">
        <v>1</v>
      </c>
      <c r="J119" s="4">
        <v>57509000</v>
      </c>
      <c r="K119" s="4">
        <v>51948000</v>
      </c>
      <c r="L119" s="4">
        <v>5561000</v>
      </c>
      <c r="M119" s="1" t="s">
        <v>20</v>
      </c>
    </row>
    <row r="120" spans="1:13">
      <c r="A120" s="1" t="s">
        <v>253</v>
      </c>
      <c r="B120" s="3">
        <v>45693</v>
      </c>
      <c r="C120" s="1" t="s">
        <v>254</v>
      </c>
      <c r="D120" s="1" t="s">
        <v>15</v>
      </c>
      <c r="E120" s="1" t="s">
        <v>40</v>
      </c>
      <c r="F120" s="1" t="s">
        <v>29</v>
      </c>
      <c r="G120" s="1" t="s">
        <v>24</v>
      </c>
      <c r="H120" s="1" t="s">
        <v>34</v>
      </c>
      <c r="I120" s="1">
        <v>1</v>
      </c>
      <c r="J120" s="4">
        <v>25097000</v>
      </c>
      <c r="K120" s="4">
        <v>19271000</v>
      </c>
      <c r="L120" s="4">
        <v>5826000</v>
      </c>
      <c r="M120" s="1" t="s">
        <v>20</v>
      </c>
    </row>
    <row r="121" spans="1:13">
      <c r="A121" s="1" t="s">
        <v>255</v>
      </c>
      <c r="B121" s="3">
        <v>45799</v>
      </c>
      <c r="C121" s="1" t="s">
        <v>149</v>
      </c>
      <c r="D121" s="1" t="s">
        <v>23</v>
      </c>
      <c r="E121" s="1" t="s">
        <v>64</v>
      </c>
      <c r="F121" s="1" t="s">
        <v>29</v>
      </c>
      <c r="G121" s="1" t="s">
        <v>30</v>
      </c>
      <c r="H121" s="1" t="s">
        <v>34</v>
      </c>
      <c r="I121" s="1">
        <v>1</v>
      </c>
      <c r="J121" s="4">
        <v>21397000</v>
      </c>
      <c r="K121" s="4">
        <v>17704000</v>
      </c>
      <c r="L121" s="4">
        <v>3693000</v>
      </c>
      <c r="M121" s="1" t="s">
        <v>20</v>
      </c>
    </row>
    <row r="122" spans="1:13">
      <c r="A122" s="1" t="s">
        <v>256</v>
      </c>
      <c r="B122" s="3">
        <v>45841</v>
      </c>
      <c r="C122" s="1" t="s">
        <v>257</v>
      </c>
      <c r="D122" s="1" t="s">
        <v>23</v>
      </c>
      <c r="E122" s="1" t="s">
        <v>40</v>
      </c>
      <c r="F122" s="1" t="s">
        <v>29</v>
      </c>
      <c r="G122" s="1" t="s">
        <v>18</v>
      </c>
      <c r="H122" s="1" t="s">
        <v>37</v>
      </c>
      <c r="I122" s="1">
        <v>1</v>
      </c>
      <c r="J122" s="4">
        <v>23104000</v>
      </c>
      <c r="K122" s="4">
        <v>18914000</v>
      </c>
      <c r="L122" s="4">
        <v>4190000</v>
      </c>
      <c r="M122" s="1" t="s">
        <v>20</v>
      </c>
    </row>
    <row r="123" spans="1:13">
      <c r="A123" s="1" t="s">
        <v>258</v>
      </c>
      <c r="B123" s="3">
        <v>45690</v>
      </c>
      <c r="C123" s="1" t="s">
        <v>259</v>
      </c>
      <c r="D123" s="1" t="s">
        <v>15</v>
      </c>
      <c r="E123" s="1" t="s">
        <v>28</v>
      </c>
      <c r="F123" s="1" t="s">
        <v>29</v>
      </c>
      <c r="G123" s="1" t="s">
        <v>24</v>
      </c>
      <c r="H123" s="1" t="s">
        <v>110</v>
      </c>
      <c r="I123" s="1">
        <v>1</v>
      </c>
      <c r="J123" s="4">
        <v>49617000</v>
      </c>
      <c r="K123" s="4">
        <v>43517000</v>
      </c>
      <c r="L123" s="4">
        <v>6100000</v>
      </c>
      <c r="M123" s="1" t="s">
        <v>69</v>
      </c>
    </row>
    <row r="124" spans="1:13">
      <c r="A124" s="1" t="s">
        <v>260</v>
      </c>
      <c r="B124" s="3">
        <v>45892</v>
      </c>
      <c r="C124" s="1" t="s">
        <v>261</v>
      </c>
      <c r="D124" s="1" t="s">
        <v>23</v>
      </c>
      <c r="E124" s="1" t="s">
        <v>60</v>
      </c>
      <c r="F124" s="1" t="s">
        <v>61</v>
      </c>
      <c r="G124" s="1" t="s">
        <v>49</v>
      </c>
      <c r="H124" s="1" t="s">
        <v>34</v>
      </c>
      <c r="I124" s="1">
        <v>3</v>
      </c>
      <c r="J124" s="4">
        <v>192177000</v>
      </c>
      <c r="K124" s="4">
        <v>150383000</v>
      </c>
      <c r="L124" s="4">
        <v>41794000</v>
      </c>
      <c r="M124" s="1" t="s">
        <v>20</v>
      </c>
    </row>
    <row r="125" spans="1:13">
      <c r="A125" s="1" t="s">
        <v>262</v>
      </c>
      <c r="B125" s="3">
        <v>45699</v>
      </c>
      <c r="C125" s="1" t="s">
        <v>263</v>
      </c>
      <c r="D125" s="1" t="s">
        <v>23</v>
      </c>
      <c r="E125" s="1" t="s">
        <v>44</v>
      </c>
      <c r="F125" s="1" t="s">
        <v>17</v>
      </c>
      <c r="G125" s="1" t="s">
        <v>24</v>
      </c>
      <c r="H125" s="1" t="s">
        <v>19</v>
      </c>
      <c r="I125" s="1">
        <v>1</v>
      </c>
      <c r="J125" s="4">
        <v>27061000</v>
      </c>
      <c r="K125" s="4">
        <v>21986000</v>
      </c>
      <c r="L125" s="4">
        <v>5075000</v>
      </c>
      <c r="M125" s="1" t="s">
        <v>20</v>
      </c>
    </row>
    <row r="126" spans="1:13">
      <c r="A126" s="1" t="s">
        <v>264</v>
      </c>
      <c r="B126" s="3">
        <v>45808</v>
      </c>
      <c r="C126" s="1" t="s">
        <v>265</v>
      </c>
      <c r="D126" s="1" t="s">
        <v>15</v>
      </c>
      <c r="E126" s="1" t="s">
        <v>28</v>
      </c>
      <c r="F126" s="1" t="s">
        <v>29</v>
      </c>
      <c r="G126" s="1" t="s">
        <v>24</v>
      </c>
      <c r="H126" s="1" t="s">
        <v>37</v>
      </c>
      <c r="I126" s="1">
        <v>1</v>
      </c>
      <c r="J126" s="4">
        <v>53624000</v>
      </c>
      <c r="K126" s="4">
        <v>45035000</v>
      </c>
      <c r="L126" s="4">
        <v>8589000</v>
      </c>
      <c r="M126" s="1" t="s">
        <v>20</v>
      </c>
    </row>
    <row r="127" spans="1:13">
      <c r="A127" s="1" t="s">
        <v>266</v>
      </c>
      <c r="B127" s="3">
        <v>45768</v>
      </c>
      <c r="C127" s="1" t="s">
        <v>267</v>
      </c>
      <c r="D127" s="1" t="s">
        <v>15</v>
      </c>
      <c r="E127" s="1" t="s">
        <v>44</v>
      </c>
      <c r="F127" s="1" t="s">
        <v>17</v>
      </c>
      <c r="G127" s="1" t="s">
        <v>49</v>
      </c>
      <c r="H127" s="1" t="s">
        <v>110</v>
      </c>
      <c r="I127" s="1">
        <v>1</v>
      </c>
      <c r="J127" s="4">
        <v>27760000</v>
      </c>
      <c r="K127" s="4">
        <v>21579000</v>
      </c>
      <c r="L127" s="4">
        <v>6181000</v>
      </c>
      <c r="M127" s="1" t="s">
        <v>20</v>
      </c>
    </row>
    <row r="128" spans="1:13">
      <c r="A128" s="1" t="s">
        <v>268</v>
      </c>
      <c r="B128" s="3">
        <v>45998</v>
      </c>
      <c r="C128" s="1" t="s">
        <v>269</v>
      </c>
      <c r="D128" s="1" t="s">
        <v>15</v>
      </c>
      <c r="E128" s="1" t="s">
        <v>54</v>
      </c>
      <c r="F128" s="1" t="s">
        <v>17</v>
      </c>
      <c r="G128" s="1" t="s">
        <v>18</v>
      </c>
      <c r="H128" s="1" t="s">
        <v>37</v>
      </c>
      <c r="I128" s="1">
        <v>1</v>
      </c>
      <c r="J128" s="4">
        <v>28547000</v>
      </c>
      <c r="K128" s="4">
        <v>22252000</v>
      </c>
      <c r="L128" s="4">
        <v>6295000</v>
      </c>
      <c r="M128" s="1" t="s">
        <v>20</v>
      </c>
    </row>
    <row r="129" spans="1:13">
      <c r="A129" s="1" t="s">
        <v>270</v>
      </c>
      <c r="B129" s="3">
        <v>45848</v>
      </c>
      <c r="C129" s="1" t="s">
        <v>271</v>
      </c>
      <c r="D129" s="1" t="s">
        <v>15</v>
      </c>
      <c r="E129" s="1" t="s">
        <v>40</v>
      </c>
      <c r="F129" s="1" t="s">
        <v>29</v>
      </c>
      <c r="G129" s="1" t="s">
        <v>49</v>
      </c>
      <c r="H129" s="1" t="s">
        <v>37</v>
      </c>
      <c r="I129" s="1">
        <v>1</v>
      </c>
      <c r="J129" s="4">
        <v>24312000</v>
      </c>
      <c r="K129" s="4">
        <v>19463000</v>
      </c>
      <c r="L129" s="4">
        <v>4849000</v>
      </c>
      <c r="M129" s="1" t="s">
        <v>20</v>
      </c>
    </row>
    <row r="130" spans="1:13">
      <c r="A130" s="1" t="s">
        <v>272</v>
      </c>
      <c r="B130" s="3">
        <v>45684</v>
      </c>
      <c r="C130" s="1" t="s">
        <v>273</v>
      </c>
      <c r="D130" s="1" t="s">
        <v>15</v>
      </c>
      <c r="E130" s="1" t="s">
        <v>64</v>
      </c>
      <c r="F130" s="1" t="s">
        <v>29</v>
      </c>
      <c r="G130" s="1" t="s">
        <v>18</v>
      </c>
      <c r="H130" s="1" t="s">
        <v>110</v>
      </c>
      <c r="I130" s="1">
        <v>1</v>
      </c>
      <c r="J130" s="4">
        <v>22333000</v>
      </c>
      <c r="K130" s="4">
        <v>17774000</v>
      </c>
      <c r="L130" s="4">
        <v>4559000</v>
      </c>
      <c r="M130" s="1" t="s">
        <v>20</v>
      </c>
    </row>
    <row r="131" spans="1:13">
      <c r="A131" s="1" t="s">
        <v>274</v>
      </c>
      <c r="B131" s="3">
        <v>45942</v>
      </c>
      <c r="C131" s="1" t="s">
        <v>116</v>
      </c>
      <c r="D131" s="1" t="s">
        <v>15</v>
      </c>
      <c r="E131" s="1" t="s">
        <v>44</v>
      </c>
      <c r="F131" s="1" t="s">
        <v>17</v>
      </c>
      <c r="G131" s="1" t="s">
        <v>24</v>
      </c>
      <c r="H131" s="1" t="s">
        <v>19</v>
      </c>
      <c r="I131" s="1">
        <v>1</v>
      </c>
      <c r="J131" s="4">
        <v>27691000</v>
      </c>
      <c r="K131" s="4">
        <v>22552000</v>
      </c>
      <c r="L131" s="4">
        <v>5139000</v>
      </c>
      <c r="M131" s="1" t="s">
        <v>69</v>
      </c>
    </row>
    <row r="132" spans="1:13">
      <c r="A132" s="1" t="s">
        <v>275</v>
      </c>
      <c r="B132" s="3">
        <v>46003</v>
      </c>
      <c r="C132" s="1" t="s">
        <v>22</v>
      </c>
      <c r="D132" s="1" t="s">
        <v>23</v>
      </c>
      <c r="E132" s="1" t="s">
        <v>60</v>
      </c>
      <c r="F132" s="1" t="s">
        <v>61</v>
      </c>
      <c r="G132" s="1" t="s">
        <v>41</v>
      </c>
      <c r="H132" s="1" t="s">
        <v>110</v>
      </c>
      <c r="I132" s="1">
        <v>2</v>
      </c>
      <c r="J132" s="4">
        <v>127835000</v>
      </c>
      <c r="K132" s="4">
        <v>98651000</v>
      </c>
      <c r="L132" s="4">
        <v>29184000</v>
      </c>
      <c r="M132" s="1" t="s">
        <v>20</v>
      </c>
    </row>
    <row r="133" spans="1:13">
      <c r="A133" s="1" t="s">
        <v>276</v>
      </c>
      <c r="B133" s="3">
        <v>45837</v>
      </c>
      <c r="C133" s="1" t="s">
        <v>147</v>
      </c>
      <c r="D133" s="1" t="s">
        <v>15</v>
      </c>
      <c r="E133" s="1" t="s">
        <v>16</v>
      </c>
      <c r="F133" s="1" t="s">
        <v>17</v>
      </c>
      <c r="G133" s="1" t="s">
        <v>18</v>
      </c>
      <c r="H133" s="1" t="s">
        <v>37</v>
      </c>
      <c r="I133" s="1">
        <v>1</v>
      </c>
      <c r="J133" s="4">
        <v>12858000</v>
      </c>
      <c r="K133" s="4">
        <v>13981000</v>
      </c>
      <c r="L133" s="4">
        <v>-1123000</v>
      </c>
      <c r="M133" s="1" t="s">
        <v>20</v>
      </c>
    </row>
    <row r="134" spans="1:13">
      <c r="A134" s="1" t="s">
        <v>277</v>
      </c>
      <c r="B134" s="3">
        <v>45929</v>
      </c>
      <c r="C134" s="1" t="s">
        <v>278</v>
      </c>
      <c r="D134" s="1" t="s">
        <v>23</v>
      </c>
      <c r="E134" s="1" t="s">
        <v>54</v>
      </c>
      <c r="F134" s="1" t="s">
        <v>17</v>
      </c>
      <c r="G134" s="1" t="s">
        <v>24</v>
      </c>
      <c r="H134" s="1" t="s">
        <v>34</v>
      </c>
      <c r="I134" s="1">
        <v>1</v>
      </c>
      <c r="J134" s="4">
        <v>28161000</v>
      </c>
      <c r="K134" s="4">
        <v>23714000</v>
      </c>
      <c r="L134" s="4">
        <v>4447000</v>
      </c>
      <c r="M134" s="1" t="s">
        <v>20</v>
      </c>
    </row>
    <row r="135" spans="1:13">
      <c r="A135" s="1" t="s">
        <v>279</v>
      </c>
      <c r="B135" s="3">
        <v>45684</v>
      </c>
      <c r="C135" s="1" t="s">
        <v>280</v>
      </c>
      <c r="D135" s="1" t="s">
        <v>15</v>
      </c>
      <c r="E135" s="1" t="s">
        <v>16</v>
      </c>
      <c r="F135" s="1" t="s">
        <v>17</v>
      </c>
      <c r="G135" s="1" t="s">
        <v>49</v>
      </c>
      <c r="H135" s="1" t="s">
        <v>25</v>
      </c>
      <c r="I135" s="1">
        <v>1</v>
      </c>
      <c r="J135" s="4">
        <v>17111000</v>
      </c>
      <c r="K135" s="4">
        <v>14418000</v>
      </c>
      <c r="L135" s="4">
        <v>2693000</v>
      </c>
      <c r="M135" s="1" t="s">
        <v>20</v>
      </c>
    </row>
    <row r="136" spans="1:13">
      <c r="A136" s="1" t="s">
        <v>281</v>
      </c>
      <c r="B136" s="3">
        <v>45797</v>
      </c>
      <c r="C136" s="1" t="s">
        <v>257</v>
      </c>
      <c r="D136" s="1" t="s">
        <v>23</v>
      </c>
      <c r="E136" s="1" t="s">
        <v>54</v>
      </c>
      <c r="F136" s="1" t="s">
        <v>17</v>
      </c>
      <c r="G136" s="1" t="s">
        <v>41</v>
      </c>
      <c r="H136" s="1" t="s">
        <v>34</v>
      </c>
      <c r="I136" s="1">
        <v>1</v>
      </c>
      <c r="J136" s="4">
        <v>27201000</v>
      </c>
      <c r="K136" s="4">
        <v>23613000</v>
      </c>
      <c r="L136" s="4">
        <v>3588000</v>
      </c>
      <c r="M136" s="1" t="s">
        <v>20</v>
      </c>
    </row>
    <row r="137" spans="1:13">
      <c r="A137" s="1" t="s">
        <v>282</v>
      </c>
      <c r="B137" s="3">
        <v>45770</v>
      </c>
      <c r="C137" s="1" t="s">
        <v>156</v>
      </c>
      <c r="D137" s="1" t="s">
        <v>15</v>
      </c>
      <c r="E137" s="1" t="s">
        <v>44</v>
      </c>
      <c r="F137" s="1" t="s">
        <v>17</v>
      </c>
      <c r="G137" s="1" t="s">
        <v>41</v>
      </c>
      <c r="H137" s="1" t="s">
        <v>110</v>
      </c>
      <c r="I137" s="1">
        <v>1</v>
      </c>
      <c r="J137" s="4">
        <v>25948000</v>
      </c>
      <c r="K137" s="4">
        <v>21170000</v>
      </c>
      <c r="L137" s="4">
        <v>4778000</v>
      </c>
      <c r="M137" s="1" t="s">
        <v>20</v>
      </c>
    </row>
    <row r="138" spans="1:13">
      <c r="A138" s="1" t="s">
        <v>283</v>
      </c>
      <c r="B138" s="3">
        <v>45719</v>
      </c>
      <c r="C138" s="1" t="s">
        <v>39</v>
      </c>
      <c r="D138" s="1" t="s">
        <v>15</v>
      </c>
      <c r="E138" s="1" t="s">
        <v>16</v>
      </c>
      <c r="F138" s="1" t="s">
        <v>17</v>
      </c>
      <c r="G138" s="1" t="s">
        <v>41</v>
      </c>
      <c r="H138" s="1" t="s">
        <v>34</v>
      </c>
      <c r="I138" s="1">
        <v>1</v>
      </c>
      <c r="J138" s="4">
        <v>17810000</v>
      </c>
      <c r="K138" s="4">
        <v>14795000</v>
      </c>
      <c r="L138" s="4">
        <v>3015000</v>
      </c>
      <c r="M138" s="1" t="s">
        <v>20</v>
      </c>
    </row>
    <row r="139" spans="1:13">
      <c r="A139" s="1" t="s">
        <v>284</v>
      </c>
      <c r="B139" s="3">
        <v>45861</v>
      </c>
      <c r="C139" s="1" t="s">
        <v>77</v>
      </c>
      <c r="D139" s="1" t="s">
        <v>23</v>
      </c>
      <c r="E139" s="1" t="s">
        <v>64</v>
      </c>
      <c r="F139" s="1" t="s">
        <v>29</v>
      </c>
      <c r="G139" s="1" t="s">
        <v>49</v>
      </c>
      <c r="H139" s="1" t="s">
        <v>37</v>
      </c>
      <c r="I139" s="1">
        <v>1</v>
      </c>
      <c r="J139" s="4">
        <v>23315000</v>
      </c>
      <c r="K139" s="4">
        <v>18963000</v>
      </c>
      <c r="L139" s="4">
        <v>4352000</v>
      </c>
      <c r="M139" s="1" t="s">
        <v>20</v>
      </c>
    </row>
    <row r="140" spans="1:13">
      <c r="A140" s="1" t="s">
        <v>285</v>
      </c>
      <c r="B140" s="3">
        <v>45985</v>
      </c>
      <c r="C140" s="1" t="s">
        <v>237</v>
      </c>
      <c r="D140" s="1" t="s">
        <v>23</v>
      </c>
      <c r="E140" s="1" t="s">
        <v>44</v>
      </c>
      <c r="F140" s="1" t="s">
        <v>17</v>
      </c>
      <c r="G140" s="1" t="s">
        <v>41</v>
      </c>
      <c r="H140" s="1" t="s">
        <v>34</v>
      </c>
      <c r="I140" s="1">
        <v>1</v>
      </c>
      <c r="J140" s="4">
        <v>21344000</v>
      </c>
      <c r="K140" s="4">
        <v>22457000</v>
      </c>
      <c r="L140" s="4">
        <v>-1113000</v>
      </c>
      <c r="M140" s="1" t="s">
        <v>20</v>
      </c>
    </row>
    <row r="141" spans="1:13">
      <c r="A141" s="1" t="s">
        <v>286</v>
      </c>
      <c r="B141" s="3">
        <v>45881</v>
      </c>
      <c r="C141" s="1" t="s">
        <v>287</v>
      </c>
      <c r="D141" s="1" t="s">
        <v>23</v>
      </c>
      <c r="E141" s="1" t="s">
        <v>40</v>
      </c>
      <c r="F141" s="1" t="s">
        <v>29</v>
      </c>
      <c r="G141" s="1" t="s">
        <v>30</v>
      </c>
      <c r="H141" s="1" t="s">
        <v>110</v>
      </c>
      <c r="I141" s="1">
        <v>1</v>
      </c>
      <c r="J141" s="4">
        <v>24195000</v>
      </c>
      <c r="K141" s="4">
        <v>19594000</v>
      </c>
      <c r="L141" s="4">
        <v>4601000</v>
      </c>
      <c r="M141" s="1" t="s">
        <v>20</v>
      </c>
    </row>
    <row r="142" spans="1:13">
      <c r="A142" s="1" t="s">
        <v>288</v>
      </c>
      <c r="B142" s="3">
        <v>45744</v>
      </c>
      <c r="C142" s="1" t="s">
        <v>289</v>
      </c>
      <c r="D142" s="1" t="s">
        <v>15</v>
      </c>
      <c r="E142" s="1" t="s">
        <v>16</v>
      </c>
      <c r="F142" s="1" t="s">
        <v>17</v>
      </c>
      <c r="G142" s="1" t="s">
        <v>30</v>
      </c>
      <c r="H142" s="1" t="s">
        <v>31</v>
      </c>
      <c r="I142" s="1">
        <v>1</v>
      </c>
      <c r="J142" s="4">
        <v>17374000</v>
      </c>
      <c r="K142" s="4">
        <v>14901000</v>
      </c>
      <c r="L142" s="4">
        <v>2473000</v>
      </c>
      <c r="M142" s="1" t="s">
        <v>20</v>
      </c>
    </row>
    <row r="143" spans="1:13">
      <c r="A143" s="1" t="s">
        <v>290</v>
      </c>
      <c r="B143" s="3">
        <v>45710</v>
      </c>
      <c r="C143" s="1" t="s">
        <v>291</v>
      </c>
      <c r="D143" s="1" t="s">
        <v>23</v>
      </c>
      <c r="E143" s="1" t="s">
        <v>16</v>
      </c>
      <c r="F143" s="1" t="s">
        <v>17</v>
      </c>
      <c r="G143" s="1" t="s">
        <v>49</v>
      </c>
      <c r="H143" s="1" t="s">
        <v>25</v>
      </c>
      <c r="I143" s="1">
        <v>1</v>
      </c>
      <c r="J143" s="4">
        <v>18699000</v>
      </c>
      <c r="K143" s="4">
        <v>14725000</v>
      </c>
      <c r="L143" s="4">
        <v>3974000</v>
      </c>
      <c r="M143" s="1" t="s">
        <v>20</v>
      </c>
    </row>
    <row r="144" spans="1:13">
      <c r="A144" s="1" t="s">
        <v>292</v>
      </c>
      <c r="B144" s="3">
        <v>45946</v>
      </c>
      <c r="C144" s="1" t="s">
        <v>293</v>
      </c>
      <c r="D144" s="1" t="s">
        <v>23</v>
      </c>
      <c r="E144" s="1" t="s">
        <v>40</v>
      </c>
      <c r="F144" s="1" t="s">
        <v>29</v>
      </c>
      <c r="G144" s="1" t="s">
        <v>41</v>
      </c>
      <c r="H144" s="1" t="s">
        <v>31</v>
      </c>
      <c r="I144" s="1">
        <v>2</v>
      </c>
      <c r="J144" s="4">
        <v>48642000</v>
      </c>
      <c r="K144" s="4">
        <v>40136000</v>
      </c>
      <c r="L144" s="4">
        <v>8506000</v>
      </c>
      <c r="M144" s="1" t="s">
        <v>20</v>
      </c>
    </row>
    <row r="145" spans="1:13">
      <c r="A145" s="1" t="s">
        <v>294</v>
      </c>
      <c r="B145" s="3">
        <v>45883</v>
      </c>
      <c r="C145" s="1" t="s">
        <v>295</v>
      </c>
      <c r="D145" s="1" t="s">
        <v>23</v>
      </c>
      <c r="E145" s="1" t="s">
        <v>16</v>
      </c>
      <c r="F145" s="1" t="s">
        <v>17</v>
      </c>
      <c r="G145" s="1" t="s">
        <v>49</v>
      </c>
      <c r="H145" s="1" t="s">
        <v>25</v>
      </c>
      <c r="I145" s="1">
        <v>1</v>
      </c>
      <c r="J145" s="4">
        <v>17563000</v>
      </c>
      <c r="K145" s="4">
        <v>13856000</v>
      </c>
      <c r="L145" s="4">
        <v>3707000</v>
      </c>
      <c r="M145" s="1" t="s">
        <v>20</v>
      </c>
    </row>
    <row r="146" spans="1:13">
      <c r="A146" s="1" t="s">
        <v>296</v>
      </c>
      <c r="B146" s="3">
        <v>45677</v>
      </c>
      <c r="C146" s="1" t="s">
        <v>63</v>
      </c>
      <c r="D146" s="1" t="s">
        <v>15</v>
      </c>
      <c r="E146" s="1" t="s">
        <v>16</v>
      </c>
      <c r="F146" s="1" t="s">
        <v>17</v>
      </c>
      <c r="G146" s="1" t="s">
        <v>49</v>
      </c>
      <c r="H146" s="1" t="s">
        <v>25</v>
      </c>
      <c r="I146" s="1">
        <v>1</v>
      </c>
      <c r="J146" s="4">
        <v>18942000</v>
      </c>
      <c r="K146" s="4">
        <v>15015000</v>
      </c>
      <c r="L146" s="4">
        <v>3927000</v>
      </c>
      <c r="M146" s="1" t="s">
        <v>20</v>
      </c>
    </row>
    <row r="147" spans="1:13">
      <c r="A147" s="1" t="s">
        <v>297</v>
      </c>
      <c r="B147" s="3">
        <v>45955</v>
      </c>
      <c r="C147" s="1" t="s">
        <v>198</v>
      </c>
      <c r="D147" s="1" t="s">
        <v>15</v>
      </c>
      <c r="E147" s="1" t="s">
        <v>57</v>
      </c>
      <c r="F147" s="1" t="s">
        <v>29</v>
      </c>
      <c r="G147" s="1" t="s">
        <v>24</v>
      </c>
      <c r="H147" s="1" t="s">
        <v>25</v>
      </c>
      <c r="I147" s="1">
        <v>2</v>
      </c>
      <c r="J147" s="4">
        <v>85868000</v>
      </c>
      <c r="K147" s="4">
        <v>73200000</v>
      </c>
      <c r="L147" s="4">
        <v>12668000</v>
      </c>
      <c r="M147" s="1" t="s">
        <v>20</v>
      </c>
    </row>
    <row r="148" spans="1:13">
      <c r="A148" s="1" t="s">
        <v>298</v>
      </c>
      <c r="B148" s="3">
        <v>45914</v>
      </c>
      <c r="C148" s="1" t="s">
        <v>63</v>
      </c>
      <c r="D148" s="1" t="s">
        <v>23</v>
      </c>
      <c r="E148" s="1" t="s">
        <v>16</v>
      </c>
      <c r="F148" s="1" t="s">
        <v>17</v>
      </c>
      <c r="G148" s="1" t="s">
        <v>30</v>
      </c>
      <c r="H148" s="1" t="s">
        <v>34</v>
      </c>
      <c r="I148" s="1">
        <v>1</v>
      </c>
      <c r="J148" s="4">
        <v>19024000</v>
      </c>
      <c r="K148" s="4">
        <v>14273000</v>
      </c>
      <c r="L148" s="4">
        <v>4751000</v>
      </c>
      <c r="M148" s="1" t="s">
        <v>20</v>
      </c>
    </row>
    <row r="149" spans="1:13">
      <c r="A149" s="1" t="s">
        <v>299</v>
      </c>
      <c r="B149" s="3">
        <v>45784</v>
      </c>
      <c r="C149" s="1" t="s">
        <v>300</v>
      </c>
      <c r="D149" s="1" t="s">
        <v>15</v>
      </c>
      <c r="E149" s="1" t="s">
        <v>40</v>
      </c>
      <c r="F149" s="1" t="s">
        <v>29</v>
      </c>
      <c r="G149" s="1" t="s">
        <v>49</v>
      </c>
      <c r="H149" s="1" t="s">
        <v>110</v>
      </c>
      <c r="I149" s="1">
        <v>1</v>
      </c>
      <c r="J149" s="4">
        <v>24463000</v>
      </c>
      <c r="K149" s="4">
        <v>19531000</v>
      </c>
      <c r="L149" s="4">
        <v>4932000</v>
      </c>
      <c r="M149" s="1" t="s">
        <v>20</v>
      </c>
    </row>
    <row r="150" spans="1:13">
      <c r="A150" s="1" t="s">
        <v>301</v>
      </c>
      <c r="B150" s="3">
        <v>46005</v>
      </c>
      <c r="C150" s="1" t="s">
        <v>302</v>
      </c>
      <c r="D150" s="1" t="s">
        <v>15</v>
      </c>
      <c r="E150" s="1" t="s">
        <v>57</v>
      </c>
      <c r="F150" s="1" t="s">
        <v>29</v>
      </c>
      <c r="G150" s="1" t="s">
        <v>41</v>
      </c>
      <c r="H150" s="1" t="s">
        <v>37</v>
      </c>
      <c r="I150" s="1">
        <v>1</v>
      </c>
      <c r="J150" s="4">
        <v>40788000</v>
      </c>
      <c r="K150" s="4">
        <v>34060000</v>
      </c>
      <c r="L150" s="4">
        <v>6728000</v>
      </c>
      <c r="M150" s="1" t="s">
        <v>20</v>
      </c>
    </row>
    <row r="151" spans="1:13">
      <c r="A151" s="1" t="s">
        <v>303</v>
      </c>
      <c r="B151" s="3">
        <v>45994</v>
      </c>
      <c r="C151" s="1" t="s">
        <v>295</v>
      </c>
      <c r="D151" s="1" t="s">
        <v>23</v>
      </c>
      <c r="E151" s="1" t="s">
        <v>64</v>
      </c>
      <c r="F151" s="1" t="s">
        <v>29</v>
      </c>
      <c r="G151" s="1" t="s">
        <v>49</v>
      </c>
      <c r="H151" s="1" t="s">
        <v>31</v>
      </c>
      <c r="I151" s="1">
        <v>1</v>
      </c>
      <c r="J151" s="4">
        <v>20913000</v>
      </c>
      <c r="K151" s="4">
        <v>18599000</v>
      </c>
      <c r="L151" s="4">
        <v>2314000</v>
      </c>
      <c r="M151" s="1" t="s">
        <v>20</v>
      </c>
    </row>
    <row r="152" spans="1:13">
      <c r="A152" s="1" t="s">
        <v>304</v>
      </c>
      <c r="B152" s="3">
        <v>45962</v>
      </c>
      <c r="C152" s="1" t="s">
        <v>22</v>
      </c>
      <c r="D152" s="1" t="s">
        <v>23</v>
      </c>
      <c r="E152" s="1" t="s">
        <v>40</v>
      </c>
      <c r="F152" s="1" t="s">
        <v>29</v>
      </c>
      <c r="G152" s="1" t="s">
        <v>24</v>
      </c>
      <c r="H152" s="1" t="s">
        <v>34</v>
      </c>
      <c r="I152" s="1">
        <v>1</v>
      </c>
      <c r="J152" s="4">
        <v>20146000</v>
      </c>
      <c r="K152" s="4">
        <v>19460000</v>
      </c>
      <c r="L152" s="4">
        <v>686000</v>
      </c>
      <c r="M152" s="1" t="s">
        <v>20</v>
      </c>
    </row>
    <row r="153" spans="1:13">
      <c r="A153" s="1" t="s">
        <v>305</v>
      </c>
      <c r="B153" s="3">
        <v>45988</v>
      </c>
      <c r="C153" s="1" t="s">
        <v>265</v>
      </c>
      <c r="D153" s="1" t="s">
        <v>23</v>
      </c>
      <c r="E153" s="1" t="s">
        <v>60</v>
      </c>
      <c r="F153" s="1" t="s">
        <v>61</v>
      </c>
      <c r="G153" s="1" t="s">
        <v>49</v>
      </c>
      <c r="H153" s="1" t="s">
        <v>31</v>
      </c>
      <c r="I153" s="1">
        <v>1</v>
      </c>
      <c r="J153" s="4">
        <v>49027000</v>
      </c>
      <c r="K153" s="4">
        <v>52778000</v>
      </c>
      <c r="L153" s="4">
        <v>-3751000</v>
      </c>
      <c r="M153" s="1" t="s">
        <v>20</v>
      </c>
    </row>
    <row r="154" spans="1:13">
      <c r="A154" s="1" t="s">
        <v>306</v>
      </c>
      <c r="B154" s="3">
        <v>45773</v>
      </c>
      <c r="C154" s="1" t="s">
        <v>123</v>
      </c>
      <c r="D154" s="1" t="s">
        <v>23</v>
      </c>
      <c r="E154" s="1" t="s">
        <v>64</v>
      </c>
      <c r="F154" s="1" t="s">
        <v>29</v>
      </c>
      <c r="G154" s="1" t="s">
        <v>24</v>
      </c>
      <c r="H154" s="1" t="s">
        <v>34</v>
      </c>
      <c r="I154" s="1">
        <v>1</v>
      </c>
      <c r="J154" s="4">
        <v>22934000</v>
      </c>
      <c r="K154" s="4">
        <v>18314000</v>
      </c>
      <c r="L154" s="4">
        <v>4620000</v>
      </c>
      <c r="M154" s="1" t="s">
        <v>20</v>
      </c>
    </row>
    <row r="155" spans="1:13">
      <c r="A155" s="1" t="s">
        <v>307</v>
      </c>
      <c r="B155" s="3">
        <v>45996</v>
      </c>
      <c r="C155" s="1" t="s">
        <v>291</v>
      </c>
      <c r="D155" s="1" t="s">
        <v>15</v>
      </c>
      <c r="E155" s="1" t="s">
        <v>44</v>
      </c>
      <c r="F155" s="1" t="s">
        <v>17</v>
      </c>
      <c r="G155" s="1" t="s">
        <v>24</v>
      </c>
      <c r="H155" s="1" t="s">
        <v>31</v>
      </c>
      <c r="I155" s="1">
        <v>1</v>
      </c>
      <c r="J155" s="4">
        <v>26208000</v>
      </c>
      <c r="K155" s="4">
        <v>21064000</v>
      </c>
      <c r="L155" s="4">
        <v>5144000</v>
      </c>
      <c r="M155" s="1" t="s">
        <v>20</v>
      </c>
    </row>
    <row r="156" spans="1:13">
      <c r="A156" s="1" t="s">
        <v>308</v>
      </c>
      <c r="B156" s="3">
        <v>45882</v>
      </c>
      <c r="C156" s="1" t="s">
        <v>309</v>
      </c>
      <c r="D156" s="1" t="s">
        <v>23</v>
      </c>
      <c r="E156" s="1" t="s">
        <v>16</v>
      </c>
      <c r="F156" s="1" t="s">
        <v>17</v>
      </c>
      <c r="G156" s="1" t="s">
        <v>49</v>
      </c>
      <c r="H156" s="1" t="s">
        <v>31</v>
      </c>
      <c r="I156" s="1">
        <v>1</v>
      </c>
      <c r="J156" s="4">
        <v>19189000</v>
      </c>
      <c r="K156" s="4">
        <v>14660000</v>
      </c>
      <c r="L156" s="4">
        <v>4529000</v>
      </c>
      <c r="M156" s="1" t="s">
        <v>20</v>
      </c>
    </row>
    <row r="157" spans="1:13">
      <c r="A157" s="1" t="s">
        <v>310</v>
      </c>
      <c r="B157" s="3">
        <v>45931</v>
      </c>
      <c r="C157" s="1" t="s">
        <v>77</v>
      </c>
      <c r="D157" s="1" t="s">
        <v>15</v>
      </c>
      <c r="E157" s="1" t="s">
        <v>54</v>
      </c>
      <c r="F157" s="1" t="s">
        <v>17</v>
      </c>
      <c r="G157" s="1" t="s">
        <v>49</v>
      </c>
      <c r="H157" s="1" t="s">
        <v>25</v>
      </c>
      <c r="I157" s="1">
        <v>1</v>
      </c>
      <c r="J157" s="4">
        <v>30139000</v>
      </c>
      <c r="K157" s="4">
        <v>22490000</v>
      </c>
      <c r="L157" s="4">
        <v>7649000</v>
      </c>
      <c r="M157" s="1" t="s">
        <v>20</v>
      </c>
    </row>
    <row r="158" spans="1:13">
      <c r="A158" s="1" t="s">
        <v>311</v>
      </c>
      <c r="B158" s="3">
        <v>45802</v>
      </c>
      <c r="C158" s="1" t="s">
        <v>312</v>
      </c>
      <c r="D158" s="1" t="s">
        <v>23</v>
      </c>
      <c r="E158" s="1" t="s">
        <v>40</v>
      </c>
      <c r="F158" s="1" t="s">
        <v>29</v>
      </c>
      <c r="G158" s="1" t="s">
        <v>41</v>
      </c>
      <c r="H158" s="1" t="s">
        <v>34</v>
      </c>
      <c r="I158" s="1">
        <v>1</v>
      </c>
      <c r="J158" s="4">
        <v>23066000</v>
      </c>
      <c r="K158" s="4">
        <v>19205000</v>
      </c>
      <c r="L158" s="4">
        <v>3861000</v>
      </c>
      <c r="M158" s="1" t="s">
        <v>20</v>
      </c>
    </row>
    <row r="159" spans="1:13">
      <c r="A159" s="1" t="s">
        <v>313</v>
      </c>
      <c r="B159" s="3">
        <v>45986</v>
      </c>
      <c r="C159" s="1" t="s">
        <v>68</v>
      </c>
      <c r="D159" s="1" t="s">
        <v>23</v>
      </c>
      <c r="E159" s="1" t="s">
        <v>28</v>
      </c>
      <c r="F159" s="1" t="s">
        <v>29</v>
      </c>
      <c r="G159" s="1" t="s">
        <v>30</v>
      </c>
      <c r="H159" s="1" t="s">
        <v>110</v>
      </c>
      <c r="I159" s="1">
        <v>2</v>
      </c>
      <c r="J159" s="4">
        <v>88050000</v>
      </c>
      <c r="K159" s="4">
        <v>87138000</v>
      </c>
      <c r="L159" s="4">
        <v>912000</v>
      </c>
      <c r="M159" s="1" t="s">
        <v>20</v>
      </c>
    </row>
    <row r="160" spans="1:13">
      <c r="A160" s="1" t="s">
        <v>314</v>
      </c>
      <c r="B160" s="3">
        <v>45888</v>
      </c>
      <c r="C160" s="1" t="s">
        <v>315</v>
      </c>
      <c r="D160" s="1" t="s">
        <v>23</v>
      </c>
      <c r="E160" s="1" t="s">
        <v>64</v>
      </c>
      <c r="F160" s="1" t="s">
        <v>29</v>
      </c>
      <c r="G160" s="1" t="s">
        <v>18</v>
      </c>
      <c r="H160" s="1" t="s">
        <v>25</v>
      </c>
      <c r="I160" s="1">
        <v>1</v>
      </c>
      <c r="J160" s="4">
        <v>23387000</v>
      </c>
      <c r="K160" s="4">
        <v>17791000</v>
      </c>
      <c r="L160" s="4">
        <v>5596000</v>
      </c>
      <c r="M160" s="1" t="s">
        <v>20</v>
      </c>
    </row>
    <row r="161" spans="1:13">
      <c r="A161" s="1" t="s">
        <v>316</v>
      </c>
      <c r="B161" s="3">
        <v>45685</v>
      </c>
      <c r="C161" s="1" t="s">
        <v>97</v>
      </c>
      <c r="D161" s="1" t="s">
        <v>23</v>
      </c>
      <c r="E161" s="1" t="s">
        <v>44</v>
      </c>
      <c r="F161" s="1" t="s">
        <v>17</v>
      </c>
      <c r="G161" s="1" t="s">
        <v>41</v>
      </c>
      <c r="H161" s="1" t="s">
        <v>31</v>
      </c>
      <c r="I161" s="1">
        <v>1</v>
      </c>
      <c r="J161" s="4">
        <v>25191000</v>
      </c>
      <c r="K161" s="4">
        <v>21199000</v>
      </c>
      <c r="L161" s="4">
        <v>3992000</v>
      </c>
      <c r="M161" s="1" t="s">
        <v>20</v>
      </c>
    </row>
    <row r="162" spans="1:13">
      <c r="A162" s="1" t="s">
        <v>317</v>
      </c>
      <c r="B162" s="3">
        <v>45728</v>
      </c>
      <c r="C162" s="1" t="s">
        <v>318</v>
      </c>
      <c r="D162" s="1" t="s">
        <v>15</v>
      </c>
      <c r="E162" s="1" t="s">
        <v>16</v>
      </c>
      <c r="F162" s="1" t="s">
        <v>17</v>
      </c>
      <c r="G162" s="1" t="s">
        <v>18</v>
      </c>
      <c r="H162" s="1" t="s">
        <v>34</v>
      </c>
      <c r="I162" s="1">
        <v>1</v>
      </c>
      <c r="J162" s="4">
        <v>18865000</v>
      </c>
      <c r="K162" s="4">
        <v>14875000</v>
      </c>
      <c r="L162" s="4">
        <v>3990000</v>
      </c>
      <c r="M162" s="1" t="s">
        <v>20</v>
      </c>
    </row>
    <row r="163" spans="1:13">
      <c r="A163" s="1" t="s">
        <v>319</v>
      </c>
      <c r="B163" s="3">
        <v>45667</v>
      </c>
      <c r="C163" s="1" t="s">
        <v>87</v>
      </c>
      <c r="D163" s="1" t="s">
        <v>15</v>
      </c>
      <c r="E163" s="1" t="s">
        <v>54</v>
      </c>
      <c r="F163" s="1" t="s">
        <v>17</v>
      </c>
      <c r="G163" s="1" t="s">
        <v>30</v>
      </c>
      <c r="H163" s="1" t="s">
        <v>110</v>
      </c>
      <c r="I163" s="1">
        <v>1</v>
      </c>
      <c r="J163" s="4">
        <v>29484000</v>
      </c>
      <c r="K163" s="4">
        <v>23264000</v>
      </c>
      <c r="L163" s="4">
        <v>6220000</v>
      </c>
      <c r="M163" s="1" t="s">
        <v>20</v>
      </c>
    </row>
    <row r="164" spans="1:13">
      <c r="A164" s="1" t="s">
        <v>320</v>
      </c>
      <c r="B164" s="3">
        <v>45720</v>
      </c>
      <c r="C164" s="1" t="s">
        <v>321</v>
      </c>
      <c r="D164" s="1" t="s">
        <v>23</v>
      </c>
      <c r="E164" s="1" t="s">
        <v>16</v>
      </c>
      <c r="F164" s="1" t="s">
        <v>17</v>
      </c>
      <c r="G164" s="1" t="s">
        <v>24</v>
      </c>
      <c r="H164" s="1" t="s">
        <v>34</v>
      </c>
      <c r="I164" s="1">
        <v>1</v>
      </c>
      <c r="J164" s="4">
        <v>17990000</v>
      </c>
      <c r="K164" s="4">
        <v>13936000</v>
      </c>
      <c r="L164" s="4">
        <v>4054000</v>
      </c>
      <c r="M164" s="1" t="s">
        <v>20</v>
      </c>
    </row>
    <row r="165" spans="1:13">
      <c r="A165" s="1" t="s">
        <v>322</v>
      </c>
      <c r="B165" s="3">
        <v>45981</v>
      </c>
      <c r="C165" s="1" t="s">
        <v>323</v>
      </c>
      <c r="D165" s="1" t="s">
        <v>23</v>
      </c>
      <c r="E165" s="1" t="s">
        <v>28</v>
      </c>
      <c r="F165" s="1" t="s">
        <v>29</v>
      </c>
      <c r="G165" s="1" t="s">
        <v>30</v>
      </c>
      <c r="H165" s="1" t="s">
        <v>37</v>
      </c>
      <c r="I165" s="1">
        <v>1</v>
      </c>
      <c r="J165" s="4">
        <v>42461000</v>
      </c>
      <c r="K165" s="4">
        <v>43999000</v>
      </c>
      <c r="L165" s="4">
        <v>-1538000</v>
      </c>
      <c r="M165" s="1" t="s">
        <v>20</v>
      </c>
    </row>
    <row r="166" spans="1:13">
      <c r="A166" s="1" t="s">
        <v>324</v>
      </c>
      <c r="B166" s="3">
        <v>46000</v>
      </c>
      <c r="C166" s="1" t="s">
        <v>325</v>
      </c>
      <c r="D166" s="1" t="s">
        <v>15</v>
      </c>
      <c r="E166" s="1" t="s">
        <v>16</v>
      </c>
      <c r="F166" s="1" t="s">
        <v>17</v>
      </c>
      <c r="G166" s="1" t="s">
        <v>18</v>
      </c>
      <c r="H166" s="1" t="s">
        <v>25</v>
      </c>
      <c r="I166" s="1">
        <v>1</v>
      </c>
      <c r="J166" s="4">
        <v>18151000</v>
      </c>
      <c r="K166" s="4">
        <v>14511000</v>
      </c>
      <c r="L166" s="4">
        <v>3640000</v>
      </c>
      <c r="M166" s="1" t="s">
        <v>69</v>
      </c>
    </row>
    <row r="167" spans="1:13">
      <c r="A167" s="1" t="s">
        <v>326</v>
      </c>
      <c r="B167" s="3">
        <v>45898</v>
      </c>
      <c r="C167" s="1" t="s">
        <v>224</v>
      </c>
      <c r="D167" s="1" t="s">
        <v>23</v>
      </c>
      <c r="E167" s="1" t="s">
        <v>16</v>
      </c>
      <c r="F167" s="1" t="s">
        <v>17</v>
      </c>
      <c r="G167" s="1" t="s">
        <v>18</v>
      </c>
      <c r="H167" s="1" t="s">
        <v>19</v>
      </c>
      <c r="I167" s="1">
        <v>1</v>
      </c>
      <c r="J167" s="4">
        <v>18669000</v>
      </c>
      <c r="K167" s="4">
        <v>14293000</v>
      </c>
      <c r="L167" s="4">
        <v>4376000</v>
      </c>
      <c r="M167" s="1" t="s">
        <v>20</v>
      </c>
    </row>
    <row r="168" spans="1:13">
      <c r="A168" s="1" t="s">
        <v>327</v>
      </c>
      <c r="B168" s="3">
        <v>45828</v>
      </c>
      <c r="C168" s="1" t="s">
        <v>328</v>
      </c>
      <c r="D168" s="1" t="s">
        <v>23</v>
      </c>
      <c r="E168" s="1" t="s">
        <v>16</v>
      </c>
      <c r="F168" s="1" t="s">
        <v>17</v>
      </c>
      <c r="G168" s="1" t="s">
        <v>49</v>
      </c>
      <c r="H168" s="1" t="s">
        <v>37</v>
      </c>
      <c r="I168" s="1">
        <v>1</v>
      </c>
      <c r="J168" s="4">
        <v>13265000</v>
      </c>
      <c r="K168" s="4">
        <v>14979000</v>
      </c>
      <c r="L168" s="4">
        <v>-1714000</v>
      </c>
      <c r="M168" s="1" t="s">
        <v>20</v>
      </c>
    </row>
    <row r="169" spans="1:13">
      <c r="A169" s="1" t="s">
        <v>329</v>
      </c>
      <c r="B169" s="3">
        <v>45751</v>
      </c>
      <c r="C169" s="1" t="s">
        <v>330</v>
      </c>
      <c r="D169" s="1" t="s">
        <v>23</v>
      </c>
      <c r="E169" s="1" t="s">
        <v>40</v>
      </c>
      <c r="F169" s="1" t="s">
        <v>29</v>
      </c>
      <c r="G169" s="1" t="s">
        <v>18</v>
      </c>
      <c r="H169" s="1" t="s">
        <v>110</v>
      </c>
      <c r="I169" s="1">
        <v>1</v>
      </c>
      <c r="J169" s="4">
        <v>23988000</v>
      </c>
      <c r="K169" s="4">
        <v>19391000</v>
      </c>
      <c r="L169" s="4">
        <v>4597000</v>
      </c>
      <c r="M169" s="1" t="s">
        <v>20</v>
      </c>
    </row>
    <row r="170" spans="1:13">
      <c r="A170" s="1" t="s">
        <v>331</v>
      </c>
      <c r="B170" s="3">
        <v>45816</v>
      </c>
      <c r="C170" s="1" t="s">
        <v>332</v>
      </c>
      <c r="D170" s="1" t="s">
        <v>15</v>
      </c>
      <c r="E170" s="1" t="s">
        <v>28</v>
      </c>
      <c r="F170" s="1" t="s">
        <v>29</v>
      </c>
      <c r="G170" s="1" t="s">
        <v>18</v>
      </c>
      <c r="H170" s="1" t="s">
        <v>37</v>
      </c>
      <c r="I170" s="1">
        <v>1</v>
      </c>
      <c r="J170" s="4">
        <v>36427000</v>
      </c>
      <c r="K170" s="4">
        <v>44602000</v>
      </c>
      <c r="L170" s="4">
        <v>-8175000</v>
      </c>
      <c r="M170" s="1" t="s">
        <v>20</v>
      </c>
    </row>
    <row r="171" spans="1:13">
      <c r="A171" s="1" t="s">
        <v>333</v>
      </c>
      <c r="B171" s="3">
        <v>45827</v>
      </c>
      <c r="C171" s="1" t="s">
        <v>287</v>
      </c>
      <c r="D171" s="1" t="s">
        <v>15</v>
      </c>
      <c r="E171" s="1" t="s">
        <v>54</v>
      </c>
      <c r="F171" s="1" t="s">
        <v>17</v>
      </c>
      <c r="G171" s="1" t="s">
        <v>30</v>
      </c>
      <c r="H171" s="1" t="s">
        <v>25</v>
      </c>
      <c r="I171" s="1">
        <v>1</v>
      </c>
      <c r="J171" s="4">
        <v>20356000</v>
      </c>
      <c r="K171" s="4">
        <v>23060000</v>
      </c>
      <c r="L171" s="4">
        <v>-2704000</v>
      </c>
      <c r="M171" s="1" t="s">
        <v>69</v>
      </c>
    </row>
    <row r="172" spans="1:13">
      <c r="A172" s="1" t="s">
        <v>334</v>
      </c>
      <c r="B172" s="3">
        <v>46012</v>
      </c>
      <c r="C172" s="1" t="s">
        <v>335</v>
      </c>
      <c r="D172" s="1" t="s">
        <v>15</v>
      </c>
      <c r="E172" s="1" t="s">
        <v>28</v>
      </c>
      <c r="F172" s="1" t="s">
        <v>29</v>
      </c>
      <c r="G172" s="1" t="s">
        <v>30</v>
      </c>
      <c r="H172" s="1" t="s">
        <v>19</v>
      </c>
      <c r="I172" s="1">
        <v>1</v>
      </c>
      <c r="J172" s="4">
        <v>54296000</v>
      </c>
      <c r="K172" s="4">
        <v>44488000</v>
      </c>
      <c r="L172" s="4">
        <v>9808000</v>
      </c>
      <c r="M172" s="1" t="s">
        <v>20</v>
      </c>
    </row>
    <row r="173" spans="1:13">
      <c r="A173" s="1" t="s">
        <v>336</v>
      </c>
      <c r="B173" s="3">
        <v>45808</v>
      </c>
      <c r="C173" s="1" t="s">
        <v>107</v>
      </c>
      <c r="D173" s="1" t="s">
        <v>23</v>
      </c>
      <c r="E173" s="1" t="s">
        <v>44</v>
      </c>
      <c r="F173" s="1" t="s">
        <v>17</v>
      </c>
      <c r="G173" s="1" t="s">
        <v>49</v>
      </c>
      <c r="H173" s="1" t="s">
        <v>110</v>
      </c>
      <c r="I173" s="1">
        <v>1</v>
      </c>
      <c r="J173" s="4">
        <v>25966000</v>
      </c>
      <c r="K173" s="4">
        <v>22024000</v>
      </c>
      <c r="L173" s="4">
        <v>3942000</v>
      </c>
      <c r="M173" s="1" t="s">
        <v>20</v>
      </c>
    </row>
    <row r="174" spans="1:13">
      <c r="A174" s="1" t="s">
        <v>337</v>
      </c>
      <c r="B174" s="3">
        <v>45886</v>
      </c>
      <c r="C174" s="1" t="s">
        <v>338</v>
      </c>
      <c r="D174" s="1" t="s">
        <v>15</v>
      </c>
      <c r="E174" s="1" t="s">
        <v>16</v>
      </c>
      <c r="F174" s="1" t="s">
        <v>17</v>
      </c>
      <c r="G174" s="1" t="s">
        <v>18</v>
      </c>
      <c r="H174" s="1" t="s">
        <v>34</v>
      </c>
      <c r="I174" s="1">
        <v>1</v>
      </c>
      <c r="J174" s="4">
        <v>19256000</v>
      </c>
      <c r="K174" s="4">
        <v>14173000</v>
      </c>
      <c r="L174" s="4">
        <v>5083000</v>
      </c>
      <c r="M174" s="1" t="s">
        <v>69</v>
      </c>
    </row>
    <row r="175" spans="1:13">
      <c r="A175" s="1" t="s">
        <v>339</v>
      </c>
      <c r="B175" s="3">
        <v>46001</v>
      </c>
      <c r="C175" s="1" t="s">
        <v>280</v>
      </c>
      <c r="D175" s="1" t="s">
        <v>23</v>
      </c>
      <c r="E175" s="1" t="s">
        <v>60</v>
      </c>
      <c r="F175" s="1" t="s">
        <v>61</v>
      </c>
      <c r="G175" s="1" t="s">
        <v>49</v>
      </c>
      <c r="H175" s="1" t="s">
        <v>34</v>
      </c>
      <c r="I175" s="1">
        <v>1</v>
      </c>
      <c r="J175" s="4">
        <v>62728000</v>
      </c>
      <c r="K175" s="4">
        <v>52787000</v>
      </c>
      <c r="L175" s="4">
        <v>9941000</v>
      </c>
      <c r="M175" s="1" t="s">
        <v>20</v>
      </c>
    </row>
    <row r="176" spans="1:13">
      <c r="A176" s="1" t="s">
        <v>340</v>
      </c>
      <c r="B176" s="3">
        <v>45722</v>
      </c>
      <c r="C176" s="1" t="s">
        <v>127</v>
      </c>
      <c r="D176" s="1" t="s">
        <v>15</v>
      </c>
      <c r="E176" s="1" t="s">
        <v>16</v>
      </c>
      <c r="F176" s="1" t="s">
        <v>17</v>
      </c>
      <c r="G176" s="1" t="s">
        <v>49</v>
      </c>
      <c r="H176" s="1" t="s">
        <v>110</v>
      </c>
      <c r="I176" s="1">
        <v>1</v>
      </c>
      <c r="J176" s="4">
        <v>17816000</v>
      </c>
      <c r="K176" s="4">
        <v>14598000</v>
      </c>
      <c r="L176" s="4">
        <v>3218000</v>
      </c>
      <c r="M176" s="1" t="s">
        <v>20</v>
      </c>
    </row>
    <row r="177" spans="1:13">
      <c r="A177" s="1" t="s">
        <v>341</v>
      </c>
      <c r="B177" s="3">
        <v>45848</v>
      </c>
      <c r="C177" s="1" t="s">
        <v>289</v>
      </c>
      <c r="D177" s="1" t="s">
        <v>23</v>
      </c>
      <c r="E177" s="1" t="s">
        <v>44</v>
      </c>
      <c r="F177" s="1" t="s">
        <v>17</v>
      </c>
      <c r="G177" s="1" t="s">
        <v>18</v>
      </c>
      <c r="H177" s="1" t="s">
        <v>34</v>
      </c>
      <c r="I177" s="1">
        <v>1</v>
      </c>
      <c r="J177" s="4">
        <v>26174000</v>
      </c>
      <c r="K177" s="4">
        <v>21395000</v>
      </c>
      <c r="L177" s="4">
        <v>4779000</v>
      </c>
      <c r="M177" s="1" t="s">
        <v>20</v>
      </c>
    </row>
    <row r="178" spans="1:13">
      <c r="A178" s="1" t="s">
        <v>342</v>
      </c>
      <c r="B178" s="3">
        <v>45753</v>
      </c>
      <c r="C178" s="1" t="s">
        <v>343</v>
      </c>
      <c r="D178" s="1" t="s">
        <v>23</v>
      </c>
      <c r="E178" s="1" t="s">
        <v>28</v>
      </c>
      <c r="F178" s="1" t="s">
        <v>29</v>
      </c>
      <c r="G178" s="1" t="s">
        <v>41</v>
      </c>
      <c r="H178" s="1" t="s">
        <v>37</v>
      </c>
      <c r="I178" s="1">
        <v>1</v>
      </c>
      <c r="J178" s="4">
        <v>50650000</v>
      </c>
      <c r="K178" s="4">
        <v>42457000</v>
      </c>
      <c r="L178" s="4">
        <v>8193000</v>
      </c>
      <c r="M178" s="1" t="s">
        <v>20</v>
      </c>
    </row>
    <row r="179" spans="1:13">
      <c r="A179" s="1" t="s">
        <v>344</v>
      </c>
      <c r="B179" s="3">
        <v>45909</v>
      </c>
      <c r="C179" s="1" t="s">
        <v>345</v>
      </c>
      <c r="D179" s="1" t="s">
        <v>23</v>
      </c>
      <c r="E179" s="1" t="s">
        <v>54</v>
      </c>
      <c r="F179" s="1" t="s">
        <v>17</v>
      </c>
      <c r="G179" s="1" t="s">
        <v>41</v>
      </c>
      <c r="H179" s="1" t="s">
        <v>37</v>
      </c>
      <c r="I179" s="1">
        <v>1</v>
      </c>
      <c r="J179" s="4">
        <v>27430000</v>
      </c>
      <c r="K179" s="4">
        <v>23695000</v>
      </c>
      <c r="L179" s="4">
        <v>3735000</v>
      </c>
      <c r="M179" s="1" t="s">
        <v>69</v>
      </c>
    </row>
    <row r="180" spans="1:13">
      <c r="A180" s="1" t="s">
        <v>346</v>
      </c>
      <c r="B180" s="3">
        <v>45835</v>
      </c>
      <c r="C180" s="1" t="s">
        <v>22</v>
      </c>
      <c r="D180" s="1" t="s">
        <v>23</v>
      </c>
      <c r="E180" s="1" t="s">
        <v>40</v>
      </c>
      <c r="F180" s="1" t="s">
        <v>29</v>
      </c>
      <c r="G180" s="1" t="s">
        <v>30</v>
      </c>
      <c r="H180" s="1" t="s">
        <v>110</v>
      </c>
      <c r="I180" s="1">
        <v>1</v>
      </c>
      <c r="J180" s="4">
        <v>16917000</v>
      </c>
      <c r="K180" s="4">
        <v>19122000</v>
      </c>
      <c r="L180" s="4">
        <v>-2205000</v>
      </c>
      <c r="M180" s="1" t="s">
        <v>20</v>
      </c>
    </row>
    <row r="181" spans="1:13">
      <c r="A181" s="1" t="s">
        <v>347</v>
      </c>
      <c r="B181" s="3">
        <v>45918</v>
      </c>
      <c r="C181" s="1" t="s">
        <v>77</v>
      </c>
      <c r="D181" s="1" t="s">
        <v>15</v>
      </c>
      <c r="E181" s="1" t="s">
        <v>54</v>
      </c>
      <c r="F181" s="1" t="s">
        <v>17</v>
      </c>
      <c r="G181" s="1" t="s">
        <v>41</v>
      </c>
      <c r="H181" s="1" t="s">
        <v>25</v>
      </c>
      <c r="I181" s="1">
        <v>1</v>
      </c>
      <c r="J181" s="4">
        <v>27667000</v>
      </c>
      <c r="K181" s="4">
        <v>23186000</v>
      </c>
      <c r="L181" s="4">
        <v>4481000</v>
      </c>
      <c r="M181" s="1" t="s">
        <v>20</v>
      </c>
    </row>
    <row r="182" spans="1:13">
      <c r="A182" s="1" t="s">
        <v>348</v>
      </c>
      <c r="B182" s="3">
        <v>45940</v>
      </c>
      <c r="C182" s="1" t="s">
        <v>349</v>
      </c>
      <c r="D182" s="1" t="s">
        <v>15</v>
      </c>
      <c r="E182" s="1" t="s">
        <v>16</v>
      </c>
      <c r="F182" s="1" t="s">
        <v>17</v>
      </c>
      <c r="G182" s="1" t="s">
        <v>49</v>
      </c>
      <c r="H182" s="1" t="s">
        <v>19</v>
      </c>
      <c r="I182" s="1">
        <v>1</v>
      </c>
      <c r="J182" s="4">
        <v>17852000</v>
      </c>
      <c r="K182" s="4">
        <v>14815000</v>
      </c>
      <c r="L182" s="4">
        <v>3037000</v>
      </c>
      <c r="M182" s="1" t="s">
        <v>20</v>
      </c>
    </row>
    <row r="183" spans="1:13">
      <c r="A183" s="1" t="s">
        <v>350</v>
      </c>
      <c r="B183" s="3">
        <v>45695</v>
      </c>
      <c r="C183" s="1" t="s">
        <v>237</v>
      </c>
      <c r="D183" s="1" t="s">
        <v>23</v>
      </c>
      <c r="E183" s="1" t="s">
        <v>16</v>
      </c>
      <c r="F183" s="1" t="s">
        <v>17</v>
      </c>
      <c r="G183" s="1" t="s">
        <v>24</v>
      </c>
      <c r="H183" s="1" t="s">
        <v>37</v>
      </c>
      <c r="I183" s="1">
        <v>1</v>
      </c>
      <c r="J183" s="4">
        <v>18010000</v>
      </c>
      <c r="K183" s="4">
        <v>14525000</v>
      </c>
      <c r="L183" s="4">
        <v>3485000</v>
      </c>
      <c r="M183" s="1" t="s">
        <v>20</v>
      </c>
    </row>
    <row r="184" spans="1:13">
      <c r="A184" s="1" t="s">
        <v>351</v>
      </c>
      <c r="B184" s="3">
        <v>45958</v>
      </c>
      <c r="C184" s="1" t="s">
        <v>352</v>
      </c>
      <c r="D184" s="1" t="s">
        <v>15</v>
      </c>
      <c r="E184" s="1" t="s">
        <v>16</v>
      </c>
      <c r="F184" s="1" t="s">
        <v>17</v>
      </c>
      <c r="G184" s="1" t="s">
        <v>41</v>
      </c>
      <c r="H184" s="1" t="s">
        <v>31</v>
      </c>
      <c r="I184" s="1">
        <v>1</v>
      </c>
      <c r="J184" s="4">
        <v>19051000</v>
      </c>
      <c r="K184" s="4">
        <v>13855000</v>
      </c>
      <c r="L184" s="4">
        <v>5196000</v>
      </c>
      <c r="M184" s="1" t="s">
        <v>20</v>
      </c>
    </row>
    <row r="185" spans="1:13">
      <c r="A185" s="1" t="s">
        <v>353</v>
      </c>
      <c r="B185" s="3">
        <v>45740</v>
      </c>
      <c r="C185" s="1" t="s">
        <v>354</v>
      </c>
      <c r="D185" s="1" t="s">
        <v>15</v>
      </c>
      <c r="E185" s="1" t="s">
        <v>44</v>
      </c>
      <c r="F185" s="1" t="s">
        <v>17</v>
      </c>
      <c r="G185" s="1" t="s">
        <v>30</v>
      </c>
      <c r="H185" s="1" t="s">
        <v>37</v>
      </c>
      <c r="I185" s="1">
        <v>1</v>
      </c>
      <c r="J185" s="4">
        <v>28151000</v>
      </c>
      <c r="K185" s="4">
        <v>22661000</v>
      </c>
      <c r="L185" s="4">
        <v>5490000</v>
      </c>
      <c r="M185" s="1" t="s">
        <v>20</v>
      </c>
    </row>
    <row r="186" spans="1:13">
      <c r="A186" s="1" t="s">
        <v>355</v>
      </c>
      <c r="B186" s="3">
        <v>45940</v>
      </c>
      <c r="C186" s="1" t="s">
        <v>356</v>
      </c>
      <c r="D186" s="1" t="s">
        <v>15</v>
      </c>
      <c r="E186" s="1" t="s">
        <v>54</v>
      </c>
      <c r="F186" s="1" t="s">
        <v>17</v>
      </c>
      <c r="G186" s="1" t="s">
        <v>30</v>
      </c>
      <c r="H186" s="1" t="s">
        <v>31</v>
      </c>
      <c r="I186" s="1">
        <v>1</v>
      </c>
      <c r="J186" s="4">
        <v>27136000</v>
      </c>
      <c r="K186" s="4">
        <v>23527000</v>
      </c>
      <c r="L186" s="4">
        <v>3609000</v>
      </c>
      <c r="M186" s="1" t="s">
        <v>20</v>
      </c>
    </row>
    <row r="187" spans="1:13">
      <c r="A187" s="1" t="s">
        <v>357</v>
      </c>
      <c r="B187" s="3">
        <v>45995</v>
      </c>
      <c r="C187" s="1" t="s">
        <v>358</v>
      </c>
      <c r="D187" s="1" t="s">
        <v>15</v>
      </c>
      <c r="E187" s="1" t="s">
        <v>57</v>
      </c>
      <c r="F187" s="1" t="s">
        <v>29</v>
      </c>
      <c r="G187" s="1" t="s">
        <v>18</v>
      </c>
      <c r="H187" s="1" t="s">
        <v>37</v>
      </c>
      <c r="I187" s="1">
        <v>1</v>
      </c>
      <c r="J187" s="4">
        <v>45585000</v>
      </c>
      <c r="K187" s="4">
        <v>33871000</v>
      </c>
      <c r="L187" s="4">
        <v>11714000</v>
      </c>
      <c r="M187" s="1" t="s">
        <v>20</v>
      </c>
    </row>
    <row r="188" spans="1:13">
      <c r="A188" s="1" t="s">
        <v>359</v>
      </c>
      <c r="B188" s="3">
        <v>45953</v>
      </c>
      <c r="C188" s="1" t="s">
        <v>14</v>
      </c>
      <c r="D188" s="1" t="s">
        <v>23</v>
      </c>
      <c r="E188" s="1" t="s">
        <v>54</v>
      </c>
      <c r="F188" s="1" t="s">
        <v>17</v>
      </c>
      <c r="G188" s="1" t="s">
        <v>41</v>
      </c>
      <c r="H188" s="1" t="s">
        <v>37</v>
      </c>
      <c r="I188" s="1">
        <v>1</v>
      </c>
      <c r="J188" s="4">
        <v>29080000</v>
      </c>
      <c r="K188" s="4">
        <v>22110000</v>
      </c>
      <c r="L188" s="4">
        <v>6970000</v>
      </c>
      <c r="M188" s="1" t="s">
        <v>20</v>
      </c>
    </row>
    <row r="189" spans="1:13">
      <c r="A189" s="1" t="s">
        <v>360</v>
      </c>
      <c r="B189" s="3">
        <v>45812</v>
      </c>
      <c r="C189" s="1" t="s">
        <v>99</v>
      </c>
      <c r="D189" s="1" t="s">
        <v>15</v>
      </c>
      <c r="E189" s="1" t="s">
        <v>28</v>
      </c>
      <c r="F189" s="1" t="s">
        <v>29</v>
      </c>
      <c r="G189" s="1" t="s">
        <v>49</v>
      </c>
      <c r="H189" s="1" t="s">
        <v>25</v>
      </c>
      <c r="I189" s="1">
        <v>1</v>
      </c>
      <c r="J189" s="4">
        <v>36641000</v>
      </c>
      <c r="K189" s="4">
        <v>41642000</v>
      </c>
      <c r="L189" s="4">
        <v>-5001000</v>
      </c>
      <c r="M189" s="1" t="s">
        <v>20</v>
      </c>
    </row>
    <row r="190" spans="1:13">
      <c r="A190" s="1" t="s">
        <v>361</v>
      </c>
      <c r="B190" s="3">
        <v>45895</v>
      </c>
      <c r="C190" s="1" t="s">
        <v>362</v>
      </c>
      <c r="D190" s="1" t="s">
        <v>23</v>
      </c>
      <c r="E190" s="1" t="s">
        <v>54</v>
      </c>
      <c r="F190" s="1" t="s">
        <v>17</v>
      </c>
      <c r="G190" s="1" t="s">
        <v>49</v>
      </c>
      <c r="H190" s="1" t="s">
        <v>31</v>
      </c>
      <c r="I190" s="1">
        <v>1</v>
      </c>
      <c r="J190" s="4">
        <v>29452000</v>
      </c>
      <c r="K190" s="4">
        <v>23743000</v>
      </c>
      <c r="L190" s="4">
        <v>5709000</v>
      </c>
      <c r="M190" s="1" t="s">
        <v>20</v>
      </c>
    </row>
    <row r="191" spans="1:13">
      <c r="A191" s="1" t="s">
        <v>363</v>
      </c>
      <c r="B191" s="3">
        <v>45847</v>
      </c>
      <c r="C191" s="1" t="s">
        <v>364</v>
      </c>
      <c r="D191" s="1" t="s">
        <v>23</v>
      </c>
      <c r="E191" s="1" t="s">
        <v>28</v>
      </c>
      <c r="F191" s="1" t="s">
        <v>29</v>
      </c>
      <c r="G191" s="1" t="s">
        <v>41</v>
      </c>
      <c r="H191" s="1" t="s">
        <v>25</v>
      </c>
      <c r="I191" s="1">
        <v>1</v>
      </c>
      <c r="J191" s="4">
        <v>49708000</v>
      </c>
      <c r="K191" s="4">
        <v>43281000</v>
      </c>
      <c r="L191" s="4">
        <v>6427000</v>
      </c>
      <c r="M191" s="1" t="s">
        <v>20</v>
      </c>
    </row>
    <row r="192" spans="1:13">
      <c r="A192" s="1" t="s">
        <v>365</v>
      </c>
      <c r="B192" s="3">
        <v>45973</v>
      </c>
      <c r="C192" s="1" t="s">
        <v>81</v>
      </c>
      <c r="D192" s="1" t="s">
        <v>15</v>
      </c>
      <c r="E192" s="1" t="s">
        <v>44</v>
      </c>
      <c r="F192" s="1" t="s">
        <v>17</v>
      </c>
      <c r="G192" s="1" t="s">
        <v>30</v>
      </c>
      <c r="H192" s="1" t="s">
        <v>25</v>
      </c>
      <c r="I192" s="1">
        <v>2</v>
      </c>
      <c r="J192" s="4">
        <v>45448000</v>
      </c>
      <c r="K192" s="4">
        <v>45491000</v>
      </c>
      <c r="L192" s="4">
        <v>-43000</v>
      </c>
      <c r="M192" s="1" t="s">
        <v>20</v>
      </c>
    </row>
    <row r="193" spans="1:13">
      <c r="A193" s="1" t="s">
        <v>366</v>
      </c>
      <c r="B193" s="3">
        <v>45921</v>
      </c>
      <c r="C193" s="1" t="s">
        <v>224</v>
      </c>
      <c r="D193" s="1" t="s">
        <v>15</v>
      </c>
      <c r="E193" s="1" t="s">
        <v>28</v>
      </c>
      <c r="F193" s="1" t="s">
        <v>29</v>
      </c>
      <c r="G193" s="1" t="s">
        <v>30</v>
      </c>
      <c r="H193" s="1" t="s">
        <v>19</v>
      </c>
      <c r="I193" s="1">
        <v>1</v>
      </c>
      <c r="J193" s="4">
        <v>49489000</v>
      </c>
      <c r="K193" s="4">
        <v>43036000</v>
      </c>
      <c r="L193" s="4">
        <v>6453000</v>
      </c>
      <c r="M193" s="1" t="s">
        <v>20</v>
      </c>
    </row>
    <row r="194" spans="1:13">
      <c r="A194" s="1" t="s">
        <v>367</v>
      </c>
      <c r="B194" s="3">
        <v>45838</v>
      </c>
      <c r="C194" s="1" t="s">
        <v>368</v>
      </c>
      <c r="D194" s="1" t="s">
        <v>23</v>
      </c>
      <c r="E194" s="1" t="s">
        <v>16</v>
      </c>
      <c r="F194" s="1" t="s">
        <v>17</v>
      </c>
      <c r="G194" s="1" t="s">
        <v>18</v>
      </c>
      <c r="H194" s="1" t="s">
        <v>25</v>
      </c>
      <c r="I194" s="1">
        <v>1</v>
      </c>
      <c r="J194" s="4">
        <v>13602000</v>
      </c>
      <c r="K194" s="4">
        <v>14750000</v>
      </c>
      <c r="L194" s="4">
        <v>-1148000</v>
      </c>
      <c r="M194" s="1" t="s">
        <v>20</v>
      </c>
    </row>
    <row r="195" spans="1:13">
      <c r="A195" s="1" t="s">
        <v>369</v>
      </c>
      <c r="B195" s="3">
        <v>45726</v>
      </c>
      <c r="C195" s="1" t="s">
        <v>134</v>
      </c>
      <c r="D195" s="1" t="s">
        <v>15</v>
      </c>
      <c r="E195" s="1" t="s">
        <v>64</v>
      </c>
      <c r="F195" s="1" t="s">
        <v>29</v>
      </c>
      <c r="G195" s="1" t="s">
        <v>41</v>
      </c>
      <c r="H195" s="1" t="s">
        <v>19</v>
      </c>
      <c r="I195" s="1">
        <v>1</v>
      </c>
      <c r="J195" s="4">
        <v>21727000</v>
      </c>
      <c r="K195" s="4">
        <v>18118000</v>
      </c>
      <c r="L195" s="4">
        <v>3609000</v>
      </c>
      <c r="M195" s="1" t="s">
        <v>20</v>
      </c>
    </row>
    <row r="196" spans="1:13">
      <c r="A196" s="1" t="s">
        <v>370</v>
      </c>
      <c r="B196" s="3">
        <v>45805</v>
      </c>
      <c r="C196" s="1" t="s">
        <v>73</v>
      </c>
      <c r="D196" s="1" t="s">
        <v>23</v>
      </c>
      <c r="E196" s="1" t="s">
        <v>16</v>
      </c>
      <c r="F196" s="1" t="s">
        <v>17</v>
      </c>
      <c r="G196" s="1" t="s">
        <v>30</v>
      </c>
      <c r="H196" s="1" t="s">
        <v>34</v>
      </c>
      <c r="I196" s="1">
        <v>1</v>
      </c>
      <c r="J196" s="4">
        <v>17575000</v>
      </c>
      <c r="K196" s="4">
        <v>15209000</v>
      </c>
      <c r="L196" s="4">
        <v>2366000</v>
      </c>
      <c r="M196" s="1" t="s">
        <v>20</v>
      </c>
    </row>
    <row r="197" spans="1:13">
      <c r="A197" s="1" t="s">
        <v>371</v>
      </c>
      <c r="B197" s="3">
        <v>45859</v>
      </c>
      <c r="C197" s="1" t="s">
        <v>372</v>
      </c>
      <c r="D197" s="1" t="s">
        <v>15</v>
      </c>
      <c r="E197" s="1" t="s">
        <v>44</v>
      </c>
      <c r="F197" s="1" t="s">
        <v>17</v>
      </c>
      <c r="G197" s="1" t="s">
        <v>24</v>
      </c>
      <c r="H197" s="1" t="s">
        <v>34</v>
      </c>
      <c r="I197" s="1">
        <v>1</v>
      </c>
      <c r="J197" s="4">
        <v>26170000</v>
      </c>
      <c r="K197" s="4">
        <v>21025000</v>
      </c>
      <c r="L197" s="4">
        <v>5145000</v>
      </c>
      <c r="M197" s="1" t="s">
        <v>20</v>
      </c>
    </row>
    <row r="198" spans="1:13">
      <c r="A198" s="1" t="s">
        <v>373</v>
      </c>
      <c r="B198" s="3">
        <v>45681</v>
      </c>
      <c r="C198" s="1" t="s">
        <v>143</v>
      </c>
      <c r="D198" s="1" t="s">
        <v>15</v>
      </c>
      <c r="E198" s="1" t="s">
        <v>16</v>
      </c>
      <c r="F198" s="1" t="s">
        <v>17</v>
      </c>
      <c r="G198" s="1" t="s">
        <v>41</v>
      </c>
      <c r="H198" s="1" t="s">
        <v>19</v>
      </c>
      <c r="I198" s="1">
        <v>1</v>
      </c>
      <c r="J198" s="4">
        <v>18135000</v>
      </c>
      <c r="K198" s="4">
        <v>13991000</v>
      </c>
      <c r="L198" s="4">
        <v>4144000</v>
      </c>
      <c r="M198" s="1" t="s">
        <v>20</v>
      </c>
    </row>
    <row r="199" spans="1:13">
      <c r="A199" s="1" t="s">
        <v>374</v>
      </c>
      <c r="B199" s="3">
        <v>45821</v>
      </c>
      <c r="C199" s="1" t="s">
        <v>43</v>
      </c>
      <c r="D199" s="1" t="s">
        <v>15</v>
      </c>
      <c r="E199" s="1" t="s">
        <v>16</v>
      </c>
      <c r="F199" s="1" t="s">
        <v>17</v>
      </c>
      <c r="G199" s="1" t="s">
        <v>49</v>
      </c>
      <c r="H199" s="1" t="s">
        <v>37</v>
      </c>
      <c r="I199" s="1">
        <v>1</v>
      </c>
      <c r="J199" s="4">
        <v>12687000</v>
      </c>
      <c r="K199" s="4">
        <v>14263000</v>
      </c>
      <c r="L199" s="4">
        <v>-1576000</v>
      </c>
      <c r="M199" s="1" t="s">
        <v>20</v>
      </c>
    </row>
    <row r="200" spans="1:13">
      <c r="A200" s="1" t="s">
        <v>375</v>
      </c>
      <c r="B200" s="3">
        <v>45946</v>
      </c>
      <c r="C200" s="1" t="s">
        <v>109</v>
      </c>
      <c r="D200" s="1" t="s">
        <v>15</v>
      </c>
      <c r="E200" s="1" t="s">
        <v>54</v>
      </c>
      <c r="F200" s="1" t="s">
        <v>17</v>
      </c>
      <c r="G200" s="1" t="s">
        <v>18</v>
      </c>
      <c r="H200" s="1" t="s">
        <v>19</v>
      </c>
      <c r="I200" s="1">
        <v>1</v>
      </c>
      <c r="J200" s="4">
        <v>29286000</v>
      </c>
      <c r="K200" s="4">
        <v>24313000</v>
      </c>
      <c r="L200" s="4">
        <v>4973000</v>
      </c>
      <c r="M200" s="1" t="s">
        <v>20</v>
      </c>
    </row>
    <row r="201" spans="1:13">
      <c r="A201" s="1" t="s">
        <v>376</v>
      </c>
      <c r="B201" s="3">
        <v>45900</v>
      </c>
      <c r="C201" s="1" t="s">
        <v>181</v>
      </c>
      <c r="D201" s="1" t="s">
        <v>15</v>
      </c>
      <c r="E201" s="1" t="s">
        <v>54</v>
      </c>
      <c r="F201" s="1" t="s">
        <v>17</v>
      </c>
      <c r="G201" s="1" t="s">
        <v>30</v>
      </c>
      <c r="H201" s="1" t="s">
        <v>19</v>
      </c>
      <c r="I201" s="1">
        <v>3</v>
      </c>
      <c r="J201" s="4">
        <v>86800000</v>
      </c>
      <c r="K201" s="4">
        <v>67704000</v>
      </c>
      <c r="L201" s="4">
        <v>19096000</v>
      </c>
      <c r="M201" s="1" t="s">
        <v>20</v>
      </c>
    </row>
    <row r="202" spans="1:13">
      <c r="A202" s="1" t="s">
        <v>377</v>
      </c>
      <c r="B202" s="3">
        <v>45980</v>
      </c>
      <c r="C202" s="1" t="s">
        <v>22</v>
      </c>
      <c r="D202" s="1" t="s">
        <v>15</v>
      </c>
      <c r="E202" s="1" t="s">
        <v>40</v>
      </c>
      <c r="F202" s="1" t="s">
        <v>29</v>
      </c>
      <c r="G202" s="1" t="s">
        <v>18</v>
      </c>
      <c r="H202" s="1" t="s">
        <v>31</v>
      </c>
      <c r="I202" s="1">
        <v>1</v>
      </c>
      <c r="J202" s="4">
        <v>20601000</v>
      </c>
      <c r="K202" s="4">
        <v>19290000</v>
      </c>
      <c r="L202" s="4">
        <v>1311000</v>
      </c>
      <c r="M202" s="1" t="s">
        <v>20</v>
      </c>
    </row>
    <row r="203" spans="1:13">
      <c r="A203" s="1" t="s">
        <v>378</v>
      </c>
      <c r="B203" s="3">
        <v>45667</v>
      </c>
      <c r="C203" s="1" t="s">
        <v>153</v>
      </c>
      <c r="D203" s="1" t="s">
        <v>23</v>
      </c>
      <c r="E203" s="1" t="s">
        <v>44</v>
      </c>
      <c r="F203" s="1" t="s">
        <v>17</v>
      </c>
      <c r="G203" s="1" t="s">
        <v>18</v>
      </c>
      <c r="H203" s="1" t="s">
        <v>37</v>
      </c>
      <c r="I203" s="1">
        <v>1</v>
      </c>
      <c r="J203" s="4">
        <v>25612000</v>
      </c>
      <c r="K203" s="4">
        <v>21804000</v>
      </c>
      <c r="L203" s="4">
        <v>3808000</v>
      </c>
      <c r="M203" s="1" t="s">
        <v>20</v>
      </c>
    </row>
    <row r="204" spans="1:13">
      <c r="A204" s="1" t="s">
        <v>379</v>
      </c>
      <c r="B204" s="3">
        <v>45728</v>
      </c>
      <c r="C204" s="1" t="s">
        <v>33</v>
      </c>
      <c r="D204" s="1" t="s">
        <v>15</v>
      </c>
      <c r="E204" s="1" t="s">
        <v>28</v>
      </c>
      <c r="F204" s="1" t="s">
        <v>29</v>
      </c>
      <c r="G204" s="1" t="s">
        <v>24</v>
      </c>
      <c r="H204" s="1" t="s">
        <v>110</v>
      </c>
      <c r="I204" s="1">
        <v>3</v>
      </c>
      <c r="J204" s="4">
        <v>156341000</v>
      </c>
      <c r="K204" s="4">
        <v>128893000</v>
      </c>
      <c r="L204" s="4">
        <v>27448000</v>
      </c>
      <c r="M204" s="1" t="s">
        <v>69</v>
      </c>
    </row>
    <row r="205" spans="1:13">
      <c r="A205" s="1" t="s">
        <v>380</v>
      </c>
      <c r="B205" s="3">
        <v>45937</v>
      </c>
      <c r="C205" s="1" t="s">
        <v>134</v>
      </c>
      <c r="D205" s="1" t="s">
        <v>15</v>
      </c>
      <c r="E205" s="1" t="s">
        <v>44</v>
      </c>
      <c r="F205" s="1" t="s">
        <v>17</v>
      </c>
      <c r="G205" s="1" t="s">
        <v>30</v>
      </c>
      <c r="H205" s="1" t="s">
        <v>110</v>
      </c>
      <c r="I205" s="1">
        <v>1</v>
      </c>
      <c r="J205" s="4">
        <v>27126000</v>
      </c>
      <c r="K205" s="4">
        <v>22221000</v>
      </c>
      <c r="L205" s="4">
        <v>4905000</v>
      </c>
      <c r="M205" s="1" t="s">
        <v>20</v>
      </c>
    </row>
    <row r="206" spans="1:13">
      <c r="A206" s="1" t="s">
        <v>381</v>
      </c>
      <c r="B206" s="3">
        <v>45943</v>
      </c>
      <c r="C206" s="1" t="s">
        <v>66</v>
      </c>
      <c r="D206" s="1" t="s">
        <v>15</v>
      </c>
      <c r="E206" s="1" t="s">
        <v>54</v>
      </c>
      <c r="F206" s="1" t="s">
        <v>17</v>
      </c>
      <c r="G206" s="1" t="s">
        <v>41</v>
      </c>
      <c r="H206" s="1" t="s">
        <v>25</v>
      </c>
      <c r="I206" s="1">
        <v>3</v>
      </c>
      <c r="J206" s="4">
        <v>88942000</v>
      </c>
      <c r="K206" s="4">
        <v>71026000</v>
      </c>
      <c r="L206" s="4">
        <v>17916000</v>
      </c>
      <c r="M206" s="1" t="s">
        <v>20</v>
      </c>
    </row>
    <row r="207" spans="1:13">
      <c r="A207" s="1" t="s">
        <v>382</v>
      </c>
      <c r="B207" s="3">
        <v>45836</v>
      </c>
      <c r="C207" s="1" t="s">
        <v>51</v>
      </c>
      <c r="D207" s="1" t="s">
        <v>15</v>
      </c>
      <c r="E207" s="1" t="s">
        <v>57</v>
      </c>
      <c r="F207" s="1" t="s">
        <v>29</v>
      </c>
      <c r="G207" s="1" t="s">
        <v>49</v>
      </c>
      <c r="H207" s="1" t="s">
        <v>110</v>
      </c>
      <c r="I207" s="1">
        <v>1</v>
      </c>
      <c r="J207" s="4">
        <v>30261000</v>
      </c>
      <c r="K207" s="4">
        <v>35761000</v>
      </c>
      <c r="L207" s="4">
        <v>-5500000</v>
      </c>
      <c r="M207" s="1" t="s">
        <v>20</v>
      </c>
    </row>
    <row r="208" spans="1:13">
      <c r="A208" s="1" t="s">
        <v>383</v>
      </c>
      <c r="B208" s="3">
        <v>45732</v>
      </c>
      <c r="C208" s="1" t="s">
        <v>181</v>
      </c>
      <c r="D208" s="1" t="s">
        <v>23</v>
      </c>
      <c r="E208" s="1" t="s">
        <v>54</v>
      </c>
      <c r="F208" s="1" t="s">
        <v>17</v>
      </c>
      <c r="G208" s="1" t="s">
        <v>30</v>
      </c>
      <c r="H208" s="1" t="s">
        <v>31</v>
      </c>
      <c r="I208" s="1">
        <v>1</v>
      </c>
      <c r="J208" s="4">
        <v>28073000</v>
      </c>
      <c r="K208" s="4">
        <v>23066000</v>
      </c>
      <c r="L208" s="4">
        <v>5007000</v>
      </c>
      <c r="M208" s="1" t="s">
        <v>20</v>
      </c>
    </row>
    <row r="209" spans="1:13">
      <c r="A209" s="1" t="s">
        <v>384</v>
      </c>
      <c r="B209" s="3">
        <v>45933</v>
      </c>
      <c r="C209" s="1" t="s">
        <v>364</v>
      </c>
      <c r="D209" s="1" t="s">
        <v>23</v>
      </c>
      <c r="E209" s="1" t="s">
        <v>54</v>
      </c>
      <c r="F209" s="1" t="s">
        <v>17</v>
      </c>
      <c r="G209" s="1" t="s">
        <v>24</v>
      </c>
      <c r="H209" s="1" t="s">
        <v>31</v>
      </c>
      <c r="I209" s="1">
        <v>1</v>
      </c>
      <c r="J209" s="4">
        <v>27195000</v>
      </c>
      <c r="K209" s="4">
        <v>23759000</v>
      </c>
      <c r="L209" s="4">
        <v>3436000</v>
      </c>
      <c r="M209" s="1" t="s">
        <v>20</v>
      </c>
    </row>
    <row r="210" spans="1:13">
      <c r="A210" s="1" t="s">
        <v>385</v>
      </c>
      <c r="B210" s="3">
        <v>45984</v>
      </c>
      <c r="C210" s="1" t="s">
        <v>386</v>
      </c>
      <c r="D210" s="1" t="s">
        <v>23</v>
      </c>
      <c r="E210" s="1" t="s">
        <v>54</v>
      </c>
      <c r="F210" s="1" t="s">
        <v>17</v>
      </c>
      <c r="G210" s="1" t="s">
        <v>24</v>
      </c>
      <c r="H210" s="1" t="s">
        <v>31</v>
      </c>
      <c r="I210" s="1">
        <v>1</v>
      </c>
      <c r="J210" s="4">
        <v>23403000</v>
      </c>
      <c r="K210" s="4">
        <v>23620000</v>
      </c>
      <c r="L210" s="4">
        <v>-217000</v>
      </c>
      <c r="M210" s="1" t="s">
        <v>20</v>
      </c>
    </row>
    <row r="211" spans="1:13">
      <c r="A211" s="1" t="s">
        <v>387</v>
      </c>
      <c r="B211" s="3">
        <v>45866</v>
      </c>
      <c r="C211" s="1" t="s">
        <v>87</v>
      </c>
      <c r="D211" s="1" t="s">
        <v>15</v>
      </c>
      <c r="E211" s="1" t="s">
        <v>60</v>
      </c>
      <c r="F211" s="1" t="s">
        <v>61</v>
      </c>
      <c r="G211" s="1" t="s">
        <v>18</v>
      </c>
      <c r="H211" s="1" t="s">
        <v>34</v>
      </c>
      <c r="I211" s="1">
        <v>1</v>
      </c>
      <c r="J211" s="4">
        <v>62499000</v>
      </c>
      <c r="K211" s="4">
        <v>51792000</v>
      </c>
      <c r="L211" s="4">
        <v>10707000</v>
      </c>
      <c r="M211" s="1" t="s">
        <v>20</v>
      </c>
    </row>
    <row r="212" spans="1:13">
      <c r="A212" s="1" t="s">
        <v>388</v>
      </c>
      <c r="B212" s="3">
        <v>45991</v>
      </c>
      <c r="C212" s="1" t="s">
        <v>389</v>
      </c>
      <c r="D212" s="1" t="s">
        <v>23</v>
      </c>
      <c r="E212" s="1" t="s">
        <v>57</v>
      </c>
      <c r="F212" s="1" t="s">
        <v>29</v>
      </c>
      <c r="G212" s="1" t="s">
        <v>30</v>
      </c>
      <c r="H212" s="1" t="s">
        <v>34</v>
      </c>
      <c r="I212" s="1">
        <v>1</v>
      </c>
      <c r="J212" s="4">
        <v>37438000</v>
      </c>
      <c r="K212" s="4">
        <v>36967000</v>
      </c>
      <c r="L212" s="4">
        <v>471000</v>
      </c>
      <c r="M212" s="1" t="s">
        <v>20</v>
      </c>
    </row>
    <row r="213" spans="1:13">
      <c r="A213" s="1" t="s">
        <v>390</v>
      </c>
      <c r="B213" s="3">
        <v>45861</v>
      </c>
      <c r="C213" s="1" t="s">
        <v>125</v>
      </c>
      <c r="D213" s="1" t="s">
        <v>23</v>
      </c>
      <c r="E213" s="1" t="s">
        <v>40</v>
      </c>
      <c r="F213" s="1" t="s">
        <v>29</v>
      </c>
      <c r="G213" s="1" t="s">
        <v>24</v>
      </c>
      <c r="H213" s="1" t="s">
        <v>19</v>
      </c>
      <c r="I213" s="1">
        <v>1</v>
      </c>
      <c r="J213" s="4">
        <v>25282000</v>
      </c>
      <c r="K213" s="4">
        <v>19383000</v>
      </c>
      <c r="L213" s="4">
        <v>5899000</v>
      </c>
      <c r="M213" s="1" t="s">
        <v>20</v>
      </c>
    </row>
    <row r="214" spans="1:13">
      <c r="A214" s="1" t="s">
        <v>391</v>
      </c>
      <c r="B214" s="3">
        <v>45712</v>
      </c>
      <c r="C214" s="1" t="s">
        <v>392</v>
      </c>
      <c r="D214" s="1" t="s">
        <v>23</v>
      </c>
      <c r="E214" s="1" t="s">
        <v>64</v>
      </c>
      <c r="F214" s="1" t="s">
        <v>29</v>
      </c>
      <c r="G214" s="1" t="s">
        <v>24</v>
      </c>
      <c r="H214" s="1" t="s">
        <v>25</v>
      </c>
      <c r="I214" s="1">
        <v>1</v>
      </c>
      <c r="J214" s="4">
        <v>22514000</v>
      </c>
      <c r="K214" s="4">
        <v>18345000</v>
      </c>
      <c r="L214" s="4">
        <v>4169000</v>
      </c>
      <c r="M214" s="1" t="s">
        <v>20</v>
      </c>
    </row>
    <row r="215" spans="1:13">
      <c r="A215" s="1" t="s">
        <v>393</v>
      </c>
      <c r="B215" s="3">
        <v>45797</v>
      </c>
      <c r="C215" s="1" t="s">
        <v>394</v>
      </c>
      <c r="D215" s="1" t="s">
        <v>23</v>
      </c>
      <c r="E215" s="1" t="s">
        <v>54</v>
      </c>
      <c r="F215" s="1" t="s">
        <v>17</v>
      </c>
      <c r="G215" s="1" t="s">
        <v>41</v>
      </c>
      <c r="H215" s="1" t="s">
        <v>110</v>
      </c>
      <c r="I215" s="1">
        <v>1</v>
      </c>
      <c r="J215" s="4">
        <v>28490000</v>
      </c>
      <c r="K215" s="4">
        <v>22637000</v>
      </c>
      <c r="L215" s="4">
        <v>5853000</v>
      </c>
      <c r="M215" s="1" t="s">
        <v>20</v>
      </c>
    </row>
    <row r="216" spans="1:13">
      <c r="A216" s="1" t="s">
        <v>395</v>
      </c>
      <c r="B216" s="3">
        <v>45948</v>
      </c>
      <c r="C216" s="1" t="s">
        <v>151</v>
      </c>
      <c r="D216" s="1" t="s">
        <v>23</v>
      </c>
      <c r="E216" s="1" t="s">
        <v>60</v>
      </c>
      <c r="F216" s="1" t="s">
        <v>61</v>
      </c>
      <c r="G216" s="1" t="s">
        <v>18</v>
      </c>
      <c r="H216" s="1" t="s">
        <v>25</v>
      </c>
      <c r="I216" s="1">
        <v>1</v>
      </c>
      <c r="J216" s="4">
        <v>62405000</v>
      </c>
      <c r="K216" s="4">
        <v>50023000</v>
      </c>
      <c r="L216" s="4">
        <v>12382000</v>
      </c>
      <c r="M216" s="1" t="s">
        <v>20</v>
      </c>
    </row>
    <row r="217" spans="1:13">
      <c r="A217" s="1" t="s">
        <v>396</v>
      </c>
      <c r="B217" s="3">
        <v>46000</v>
      </c>
      <c r="C217" s="1" t="s">
        <v>397</v>
      </c>
      <c r="D217" s="1" t="s">
        <v>15</v>
      </c>
      <c r="E217" s="1" t="s">
        <v>16</v>
      </c>
      <c r="F217" s="1" t="s">
        <v>17</v>
      </c>
      <c r="G217" s="1" t="s">
        <v>41</v>
      </c>
      <c r="H217" s="1" t="s">
        <v>110</v>
      </c>
      <c r="I217" s="1">
        <v>1</v>
      </c>
      <c r="J217" s="4">
        <v>19110000</v>
      </c>
      <c r="K217" s="4">
        <v>13785000</v>
      </c>
      <c r="L217" s="4">
        <v>5325000</v>
      </c>
      <c r="M217" s="1" t="s">
        <v>20</v>
      </c>
    </row>
    <row r="218" spans="1:13">
      <c r="A218" s="1" t="s">
        <v>398</v>
      </c>
      <c r="B218" s="3">
        <v>45812</v>
      </c>
      <c r="C218" s="1" t="s">
        <v>79</v>
      </c>
      <c r="D218" s="1" t="s">
        <v>15</v>
      </c>
      <c r="E218" s="1" t="s">
        <v>57</v>
      </c>
      <c r="F218" s="1" t="s">
        <v>29</v>
      </c>
      <c r="G218" s="1" t="s">
        <v>41</v>
      </c>
      <c r="H218" s="1" t="s">
        <v>31</v>
      </c>
      <c r="I218" s="1">
        <v>1</v>
      </c>
      <c r="J218" s="4">
        <v>30550000</v>
      </c>
      <c r="K218" s="4">
        <v>34564000</v>
      </c>
      <c r="L218" s="4">
        <v>-4014000</v>
      </c>
      <c r="M218" s="1" t="s">
        <v>20</v>
      </c>
    </row>
    <row r="219" spans="1:13">
      <c r="A219" s="1" t="s">
        <v>399</v>
      </c>
      <c r="B219" s="3">
        <v>45865</v>
      </c>
      <c r="C219" s="1" t="s">
        <v>400</v>
      </c>
      <c r="D219" s="1" t="s">
        <v>15</v>
      </c>
      <c r="E219" s="1" t="s">
        <v>60</v>
      </c>
      <c r="F219" s="1" t="s">
        <v>61</v>
      </c>
      <c r="G219" s="1" t="s">
        <v>41</v>
      </c>
      <c r="H219" s="1" t="s">
        <v>110</v>
      </c>
      <c r="I219" s="1">
        <v>2</v>
      </c>
      <c r="J219" s="4">
        <v>126890000</v>
      </c>
      <c r="K219" s="4">
        <v>102922000</v>
      </c>
      <c r="L219" s="4">
        <v>23968000</v>
      </c>
      <c r="M219" s="1" t="s">
        <v>20</v>
      </c>
    </row>
    <row r="220" spans="1:13">
      <c r="A220" s="1" t="s">
        <v>401</v>
      </c>
      <c r="B220" s="3">
        <v>45972</v>
      </c>
      <c r="C220" s="1" t="s">
        <v>22</v>
      </c>
      <c r="D220" s="1" t="s">
        <v>15</v>
      </c>
      <c r="E220" s="1" t="s">
        <v>54</v>
      </c>
      <c r="F220" s="1" t="s">
        <v>17</v>
      </c>
      <c r="G220" s="1" t="s">
        <v>24</v>
      </c>
      <c r="H220" s="1" t="s">
        <v>25</v>
      </c>
      <c r="I220" s="1">
        <v>1</v>
      </c>
      <c r="J220" s="4">
        <v>23350000</v>
      </c>
      <c r="K220" s="4">
        <v>24334000</v>
      </c>
      <c r="L220" s="4">
        <v>-984000</v>
      </c>
      <c r="M220" s="1" t="s">
        <v>20</v>
      </c>
    </row>
    <row r="221" spans="1:13">
      <c r="A221" s="1" t="s">
        <v>402</v>
      </c>
      <c r="B221" s="3">
        <v>45933</v>
      </c>
      <c r="C221" s="1" t="s">
        <v>257</v>
      </c>
      <c r="D221" s="1" t="s">
        <v>15</v>
      </c>
      <c r="E221" s="1" t="s">
        <v>40</v>
      </c>
      <c r="F221" s="1" t="s">
        <v>29</v>
      </c>
      <c r="G221" s="1" t="s">
        <v>49</v>
      </c>
      <c r="H221" s="1" t="s">
        <v>19</v>
      </c>
      <c r="I221" s="1">
        <v>1</v>
      </c>
      <c r="J221" s="4">
        <v>24683000</v>
      </c>
      <c r="K221" s="4">
        <v>19990000</v>
      </c>
      <c r="L221" s="4">
        <v>4693000</v>
      </c>
      <c r="M221" s="1" t="s">
        <v>20</v>
      </c>
    </row>
    <row r="222" spans="1:13">
      <c r="A222" s="1" t="s">
        <v>403</v>
      </c>
      <c r="B222" s="3">
        <v>46018</v>
      </c>
      <c r="C222" s="1" t="s">
        <v>241</v>
      </c>
      <c r="D222" s="1" t="s">
        <v>15</v>
      </c>
      <c r="E222" s="1" t="s">
        <v>44</v>
      </c>
      <c r="F222" s="1" t="s">
        <v>17</v>
      </c>
      <c r="G222" s="1" t="s">
        <v>30</v>
      </c>
      <c r="H222" s="1" t="s">
        <v>31</v>
      </c>
      <c r="I222" s="1">
        <v>1</v>
      </c>
      <c r="J222" s="4">
        <v>27765000</v>
      </c>
      <c r="K222" s="4">
        <v>22678000</v>
      </c>
      <c r="L222" s="4">
        <v>5087000</v>
      </c>
      <c r="M222" s="1" t="s">
        <v>20</v>
      </c>
    </row>
    <row r="223" spans="1:13">
      <c r="A223" s="1" t="s">
        <v>404</v>
      </c>
      <c r="B223" s="3">
        <v>45825</v>
      </c>
      <c r="C223" s="1" t="s">
        <v>397</v>
      </c>
      <c r="D223" s="1" t="s">
        <v>23</v>
      </c>
      <c r="E223" s="1" t="s">
        <v>64</v>
      </c>
      <c r="F223" s="1" t="s">
        <v>29</v>
      </c>
      <c r="G223" s="1" t="s">
        <v>18</v>
      </c>
      <c r="H223" s="1" t="s">
        <v>25</v>
      </c>
      <c r="I223" s="1">
        <v>1</v>
      </c>
      <c r="J223" s="4">
        <v>16366000</v>
      </c>
      <c r="K223" s="4">
        <v>18280000</v>
      </c>
      <c r="L223" s="4">
        <v>-1914000</v>
      </c>
      <c r="M223" s="1" t="s">
        <v>20</v>
      </c>
    </row>
    <row r="224" spans="1:13">
      <c r="A224" s="1" t="s">
        <v>405</v>
      </c>
      <c r="B224" s="3">
        <v>45725</v>
      </c>
      <c r="C224" s="1" t="s">
        <v>95</v>
      </c>
      <c r="D224" s="1" t="s">
        <v>23</v>
      </c>
      <c r="E224" s="1" t="s">
        <v>28</v>
      </c>
      <c r="F224" s="1" t="s">
        <v>29</v>
      </c>
      <c r="G224" s="1" t="s">
        <v>41</v>
      </c>
      <c r="H224" s="1" t="s">
        <v>34</v>
      </c>
      <c r="I224" s="1">
        <v>1</v>
      </c>
      <c r="J224" s="4">
        <v>52006000</v>
      </c>
      <c r="K224" s="4">
        <v>44835000</v>
      </c>
      <c r="L224" s="4">
        <v>7171000</v>
      </c>
      <c r="M224" s="1" t="s">
        <v>20</v>
      </c>
    </row>
    <row r="225" spans="1:13">
      <c r="A225" s="1" t="s">
        <v>406</v>
      </c>
      <c r="B225" s="3">
        <v>45769</v>
      </c>
      <c r="C225" s="1" t="s">
        <v>36</v>
      </c>
      <c r="D225" s="1" t="s">
        <v>23</v>
      </c>
      <c r="E225" s="1" t="s">
        <v>57</v>
      </c>
      <c r="F225" s="1" t="s">
        <v>29</v>
      </c>
      <c r="G225" s="1" t="s">
        <v>49</v>
      </c>
      <c r="H225" s="1" t="s">
        <v>34</v>
      </c>
      <c r="I225" s="1">
        <v>1</v>
      </c>
      <c r="J225" s="4">
        <v>40776000</v>
      </c>
      <c r="K225" s="4">
        <v>37254000</v>
      </c>
      <c r="L225" s="4">
        <v>3522000</v>
      </c>
      <c r="M225" s="1" t="s">
        <v>20</v>
      </c>
    </row>
    <row r="226" spans="1:13">
      <c r="A226" s="1" t="s">
        <v>407</v>
      </c>
      <c r="B226" s="3">
        <v>45804</v>
      </c>
      <c r="C226" s="1" t="s">
        <v>163</v>
      </c>
      <c r="D226" s="1" t="s">
        <v>15</v>
      </c>
      <c r="E226" s="1" t="s">
        <v>44</v>
      </c>
      <c r="F226" s="1" t="s">
        <v>17</v>
      </c>
      <c r="G226" s="1" t="s">
        <v>49</v>
      </c>
      <c r="H226" s="1" t="s">
        <v>25</v>
      </c>
      <c r="I226" s="1">
        <v>1</v>
      </c>
      <c r="J226" s="4">
        <v>28280000</v>
      </c>
      <c r="K226" s="4">
        <v>22118000</v>
      </c>
      <c r="L226" s="4">
        <v>6162000</v>
      </c>
      <c r="M226" s="1" t="s">
        <v>20</v>
      </c>
    </row>
    <row r="227" spans="1:13">
      <c r="A227" s="1" t="s">
        <v>408</v>
      </c>
      <c r="B227" s="3">
        <v>45851</v>
      </c>
      <c r="C227" s="1" t="s">
        <v>177</v>
      </c>
      <c r="D227" s="1" t="s">
        <v>15</v>
      </c>
      <c r="E227" s="1" t="s">
        <v>44</v>
      </c>
      <c r="F227" s="1" t="s">
        <v>17</v>
      </c>
      <c r="G227" s="1" t="s">
        <v>24</v>
      </c>
      <c r="H227" s="1" t="s">
        <v>25</v>
      </c>
      <c r="I227" s="1">
        <v>1</v>
      </c>
      <c r="J227" s="4">
        <v>26768000</v>
      </c>
      <c r="K227" s="4">
        <v>22135000</v>
      </c>
      <c r="L227" s="4">
        <v>4633000</v>
      </c>
      <c r="M227" s="1" t="s">
        <v>20</v>
      </c>
    </row>
    <row r="228" spans="1:13">
      <c r="A228" s="1" t="s">
        <v>409</v>
      </c>
      <c r="B228" s="3">
        <v>45928</v>
      </c>
      <c r="C228" s="1" t="s">
        <v>410</v>
      </c>
      <c r="D228" s="1" t="s">
        <v>15</v>
      </c>
      <c r="E228" s="1" t="s">
        <v>16</v>
      </c>
      <c r="F228" s="1" t="s">
        <v>17</v>
      </c>
      <c r="G228" s="1" t="s">
        <v>24</v>
      </c>
      <c r="H228" s="1" t="s">
        <v>25</v>
      </c>
      <c r="I228" s="1">
        <v>2</v>
      </c>
      <c r="J228" s="4">
        <v>37379000</v>
      </c>
      <c r="K228" s="4">
        <v>30388000</v>
      </c>
      <c r="L228" s="4">
        <v>6991000</v>
      </c>
      <c r="M228" s="1" t="s">
        <v>20</v>
      </c>
    </row>
    <row r="229" spans="1:13">
      <c r="A229" s="1" t="s">
        <v>411</v>
      </c>
      <c r="B229" s="3">
        <v>45930</v>
      </c>
      <c r="C229" s="1" t="s">
        <v>412</v>
      </c>
      <c r="D229" s="1" t="s">
        <v>23</v>
      </c>
      <c r="E229" s="1" t="s">
        <v>44</v>
      </c>
      <c r="F229" s="1" t="s">
        <v>17</v>
      </c>
      <c r="G229" s="1" t="s">
        <v>18</v>
      </c>
      <c r="H229" s="1" t="s">
        <v>34</v>
      </c>
      <c r="I229" s="1">
        <v>1</v>
      </c>
      <c r="J229" s="4">
        <v>25444000</v>
      </c>
      <c r="K229" s="4">
        <v>21121000</v>
      </c>
      <c r="L229" s="4">
        <v>4323000</v>
      </c>
      <c r="M229" s="1" t="s">
        <v>20</v>
      </c>
    </row>
    <row r="230" spans="1:13">
      <c r="A230" s="1" t="s">
        <v>413</v>
      </c>
      <c r="B230" s="3">
        <v>45996</v>
      </c>
      <c r="C230" s="1" t="s">
        <v>414</v>
      </c>
      <c r="D230" s="1" t="s">
        <v>15</v>
      </c>
      <c r="E230" s="1" t="s">
        <v>44</v>
      </c>
      <c r="F230" s="1" t="s">
        <v>17</v>
      </c>
      <c r="G230" s="1" t="s">
        <v>49</v>
      </c>
      <c r="H230" s="1" t="s">
        <v>19</v>
      </c>
      <c r="I230" s="1">
        <v>2</v>
      </c>
      <c r="J230" s="4">
        <v>49928000</v>
      </c>
      <c r="K230" s="4">
        <v>42319000</v>
      </c>
      <c r="L230" s="4">
        <v>7609000</v>
      </c>
      <c r="M230" s="1" t="s">
        <v>20</v>
      </c>
    </row>
    <row r="231" spans="1:13">
      <c r="A231" s="1" t="s">
        <v>415</v>
      </c>
      <c r="B231" s="3">
        <v>46002</v>
      </c>
      <c r="C231" s="1" t="s">
        <v>293</v>
      </c>
      <c r="D231" s="1" t="s">
        <v>23</v>
      </c>
      <c r="E231" s="1" t="s">
        <v>40</v>
      </c>
      <c r="F231" s="1" t="s">
        <v>29</v>
      </c>
      <c r="G231" s="1" t="s">
        <v>18</v>
      </c>
      <c r="H231" s="1" t="s">
        <v>31</v>
      </c>
      <c r="I231" s="1">
        <v>1</v>
      </c>
      <c r="J231" s="4">
        <v>23815000</v>
      </c>
      <c r="K231" s="4">
        <v>19274000</v>
      </c>
      <c r="L231" s="4">
        <v>4541000</v>
      </c>
      <c r="M231" s="1" t="s">
        <v>20</v>
      </c>
    </row>
    <row r="232" spans="1:13">
      <c r="A232" s="1" t="s">
        <v>416</v>
      </c>
      <c r="B232" s="3">
        <v>45915</v>
      </c>
      <c r="C232" s="1" t="s">
        <v>116</v>
      </c>
      <c r="D232" s="1" t="s">
        <v>23</v>
      </c>
      <c r="E232" s="1" t="s">
        <v>64</v>
      </c>
      <c r="F232" s="1" t="s">
        <v>29</v>
      </c>
      <c r="G232" s="1" t="s">
        <v>41</v>
      </c>
      <c r="H232" s="1" t="s">
        <v>31</v>
      </c>
      <c r="I232" s="1">
        <v>2</v>
      </c>
      <c r="J232" s="4">
        <v>44655000</v>
      </c>
      <c r="K232" s="4">
        <v>36884000</v>
      </c>
      <c r="L232" s="4">
        <v>7771000</v>
      </c>
      <c r="M232" s="1" t="s">
        <v>20</v>
      </c>
    </row>
    <row r="233" spans="1:13">
      <c r="A233" s="1" t="s">
        <v>417</v>
      </c>
      <c r="B233" s="3">
        <v>45812</v>
      </c>
      <c r="C233" s="1" t="s">
        <v>418</v>
      </c>
      <c r="D233" s="1" t="s">
        <v>15</v>
      </c>
      <c r="E233" s="1" t="s">
        <v>64</v>
      </c>
      <c r="F233" s="1" t="s">
        <v>29</v>
      </c>
      <c r="G233" s="1" t="s">
        <v>30</v>
      </c>
      <c r="H233" s="1" t="s">
        <v>37</v>
      </c>
      <c r="I233" s="1">
        <v>1</v>
      </c>
      <c r="J233" s="4">
        <v>15741000</v>
      </c>
      <c r="K233" s="4">
        <v>17889000</v>
      </c>
      <c r="L233" s="4">
        <v>-2148000</v>
      </c>
      <c r="M233" s="1" t="s">
        <v>20</v>
      </c>
    </row>
    <row r="234" spans="1:13">
      <c r="A234" s="1" t="s">
        <v>419</v>
      </c>
      <c r="B234" s="3">
        <v>46005</v>
      </c>
      <c r="C234" s="1" t="s">
        <v>420</v>
      </c>
      <c r="D234" s="1" t="s">
        <v>23</v>
      </c>
      <c r="E234" s="1" t="s">
        <v>44</v>
      </c>
      <c r="F234" s="1" t="s">
        <v>17</v>
      </c>
      <c r="G234" s="1" t="s">
        <v>49</v>
      </c>
      <c r="H234" s="1" t="s">
        <v>25</v>
      </c>
      <c r="I234" s="1">
        <v>3</v>
      </c>
      <c r="J234" s="4">
        <v>84461000</v>
      </c>
      <c r="K234" s="4">
        <v>66521000</v>
      </c>
      <c r="L234" s="4">
        <v>17940000</v>
      </c>
      <c r="M234" s="1" t="s">
        <v>20</v>
      </c>
    </row>
    <row r="235" spans="1:13">
      <c r="A235" s="1" t="s">
        <v>421</v>
      </c>
      <c r="B235" s="3">
        <v>45734</v>
      </c>
      <c r="C235" s="1" t="s">
        <v>422</v>
      </c>
      <c r="D235" s="1" t="s">
        <v>23</v>
      </c>
      <c r="E235" s="1" t="s">
        <v>54</v>
      </c>
      <c r="F235" s="1" t="s">
        <v>17</v>
      </c>
      <c r="G235" s="1" t="s">
        <v>49</v>
      </c>
      <c r="H235" s="1" t="s">
        <v>34</v>
      </c>
      <c r="I235" s="1">
        <v>1</v>
      </c>
      <c r="J235" s="4">
        <v>27683000</v>
      </c>
      <c r="K235" s="4">
        <v>22563000</v>
      </c>
      <c r="L235" s="4">
        <v>5120000</v>
      </c>
      <c r="M235" s="1" t="s">
        <v>20</v>
      </c>
    </row>
    <row r="236" spans="1:13">
      <c r="A236" s="1" t="s">
        <v>423</v>
      </c>
      <c r="B236" s="3">
        <v>45945</v>
      </c>
      <c r="C236" s="1" t="s">
        <v>358</v>
      </c>
      <c r="D236" s="1" t="s">
        <v>23</v>
      </c>
      <c r="E236" s="1" t="s">
        <v>44</v>
      </c>
      <c r="F236" s="1" t="s">
        <v>17</v>
      </c>
      <c r="G236" s="1" t="s">
        <v>49</v>
      </c>
      <c r="H236" s="1" t="s">
        <v>110</v>
      </c>
      <c r="I236" s="1">
        <v>1</v>
      </c>
      <c r="J236" s="4">
        <v>26248000</v>
      </c>
      <c r="K236" s="4">
        <v>21266000</v>
      </c>
      <c r="L236" s="4">
        <v>4982000</v>
      </c>
      <c r="M236" s="1" t="s">
        <v>20</v>
      </c>
    </row>
    <row r="237" spans="1:13">
      <c r="A237" s="1" t="s">
        <v>424</v>
      </c>
      <c r="B237" s="3">
        <v>45705</v>
      </c>
      <c r="C237" s="1" t="s">
        <v>425</v>
      </c>
      <c r="D237" s="1" t="s">
        <v>15</v>
      </c>
      <c r="E237" s="1" t="s">
        <v>57</v>
      </c>
      <c r="F237" s="1" t="s">
        <v>29</v>
      </c>
      <c r="G237" s="1" t="s">
        <v>30</v>
      </c>
      <c r="H237" s="1" t="s">
        <v>19</v>
      </c>
      <c r="I237" s="1">
        <v>1</v>
      </c>
      <c r="J237" s="4">
        <v>42528000</v>
      </c>
      <c r="K237" s="4">
        <v>35873000</v>
      </c>
      <c r="L237" s="4">
        <v>6655000</v>
      </c>
      <c r="M237" s="1" t="s">
        <v>20</v>
      </c>
    </row>
    <row r="238" spans="1:13">
      <c r="A238" s="1" t="s">
        <v>426</v>
      </c>
      <c r="B238" s="3">
        <v>46001</v>
      </c>
      <c r="C238" s="1" t="s">
        <v>427</v>
      </c>
      <c r="D238" s="1" t="s">
        <v>23</v>
      </c>
      <c r="E238" s="1" t="s">
        <v>57</v>
      </c>
      <c r="F238" s="1" t="s">
        <v>29</v>
      </c>
      <c r="G238" s="1" t="s">
        <v>30</v>
      </c>
      <c r="H238" s="1" t="s">
        <v>37</v>
      </c>
      <c r="I238" s="1">
        <v>2</v>
      </c>
      <c r="J238" s="4">
        <v>84563000</v>
      </c>
      <c r="K238" s="4">
        <v>74245000</v>
      </c>
      <c r="L238" s="4">
        <v>10318000</v>
      </c>
      <c r="M238" s="1" t="s">
        <v>20</v>
      </c>
    </row>
    <row r="239" spans="1:13">
      <c r="A239" s="1" t="s">
        <v>428</v>
      </c>
      <c r="B239" s="3">
        <v>45718</v>
      </c>
      <c r="C239" s="1" t="s">
        <v>224</v>
      </c>
      <c r="D239" s="1" t="s">
        <v>15</v>
      </c>
      <c r="E239" s="1" t="s">
        <v>40</v>
      </c>
      <c r="F239" s="1" t="s">
        <v>29</v>
      </c>
      <c r="G239" s="1" t="s">
        <v>24</v>
      </c>
      <c r="H239" s="1" t="s">
        <v>110</v>
      </c>
      <c r="I239" s="1">
        <v>2</v>
      </c>
      <c r="J239" s="4">
        <v>49461000</v>
      </c>
      <c r="K239" s="4">
        <v>40407000</v>
      </c>
      <c r="L239" s="4">
        <v>9054000</v>
      </c>
      <c r="M239" s="1" t="s">
        <v>20</v>
      </c>
    </row>
    <row r="240" spans="1:13">
      <c r="A240" s="1" t="s">
        <v>429</v>
      </c>
      <c r="B240" s="3">
        <v>45802</v>
      </c>
      <c r="C240" s="1" t="s">
        <v>97</v>
      </c>
      <c r="D240" s="1" t="s">
        <v>23</v>
      </c>
      <c r="E240" s="1" t="s">
        <v>44</v>
      </c>
      <c r="F240" s="1" t="s">
        <v>17</v>
      </c>
      <c r="G240" s="1" t="s">
        <v>49</v>
      </c>
      <c r="H240" s="1" t="s">
        <v>110</v>
      </c>
      <c r="I240" s="1">
        <v>1</v>
      </c>
      <c r="J240" s="4">
        <v>25811000</v>
      </c>
      <c r="K240" s="4">
        <v>21828000</v>
      </c>
      <c r="L240" s="4">
        <v>3983000</v>
      </c>
      <c r="M240" s="1" t="s">
        <v>20</v>
      </c>
    </row>
    <row r="241" spans="1:13">
      <c r="A241" s="1" t="s">
        <v>430</v>
      </c>
      <c r="B241" s="3">
        <v>45762</v>
      </c>
      <c r="C241" s="1" t="s">
        <v>427</v>
      </c>
      <c r="D241" s="1" t="s">
        <v>23</v>
      </c>
      <c r="E241" s="1" t="s">
        <v>44</v>
      </c>
      <c r="F241" s="1" t="s">
        <v>17</v>
      </c>
      <c r="G241" s="1" t="s">
        <v>24</v>
      </c>
      <c r="H241" s="1" t="s">
        <v>19</v>
      </c>
      <c r="I241" s="1">
        <v>1</v>
      </c>
      <c r="J241" s="4">
        <v>25672000</v>
      </c>
      <c r="K241" s="4">
        <v>21028000</v>
      </c>
      <c r="L241" s="4">
        <v>4644000</v>
      </c>
      <c r="M241" s="1" t="s">
        <v>20</v>
      </c>
    </row>
    <row r="242" spans="1:13">
      <c r="A242" s="1" t="s">
        <v>431</v>
      </c>
      <c r="B242" s="3">
        <v>45871</v>
      </c>
      <c r="C242" s="1" t="s">
        <v>56</v>
      </c>
      <c r="D242" s="1" t="s">
        <v>23</v>
      </c>
      <c r="E242" s="1" t="s">
        <v>54</v>
      </c>
      <c r="F242" s="1" t="s">
        <v>17</v>
      </c>
      <c r="G242" s="1" t="s">
        <v>41</v>
      </c>
      <c r="H242" s="1" t="s">
        <v>110</v>
      </c>
      <c r="I242" s="1">
        <v>1</v>
      </c>
      <c r="J242" s="4">
        <v>28901000</v>
      </c>
      <c r="K242" s="4">
        <v>22610000</v>
      </c>
      <c r="L242" s="4">
        <v>6291000</v>
      </c>
      <c r="M242" s="1" t="s">
        <v>20</v>
      </c>
    </row>
    <row r="243" spans="1:13">
      <c r="A243" s="1" t="s">
        <v>432</v>
      </c>
      <c r="B243" s="3">
        <v>45908</v>
      </c>
      <c r="C243" s="1" t="s">
        <v>410</v>
      </c>
      <c r="D243" s="1" t="s">
        <v>15</v>
      </c>
      <c r="E243" s="1" t="s">
        <v>64</v>
      </c>
      <c r="F243" s="1" t="s">
        <v>29</v>
      </c>
      <c r="G243" s="1" t="s">
        <v>24</v>
      </c>
      <c r="H243" s="1" t="s">
        <v>25</v>
      </c>
      <c r="I243" s="1">
        <v>1</v>
      </c>
      <c r="J243" s="4">
        <v>21161000</v>
      </c>
      <c r="K243" s="4">
        <v>18840000</v>
      </c>
      <c r="L243" s="4">
        <v>2321000</v>
      </c>
      <c r="M243" s="1" t="s">
        <v>20</v>
      </c>
    </row>
    <row r="244" spans="1:13">
      <c r="A244" s="1" t="s">
        <v>433</v>
      </c>
      <c r="B244" s="3">
        <v>45752</v>
      </c>
      <c r="C244" s="1" t="s">
        <v>56</v>
      </c>
      <c r="D244" s="1" t="s">
        <v>23</v>
      </c>
      <c r="E244" s="1" t="s">
        <v>64</v>
      </c>
      <c r="F244" s="1" t="s">
        <v>29</v>
      </c>
      <c r="G244" s="1" t="s">
        <v>18</v>
      </c>
      <c r="H244" s="1" t="s">
        <v>34</v>
      </c>
      <c r="I244" s="1">
        <v>1</v>
      </c>
      <c r="J244" s="4">
        <v>20848000</v>
      </c>
      <c r="K244" s="4">
        <v>17447000</v>
      </c>
      <c r="L244" s="4">
        <v>3401000</v>
      </c>
      <c r="M244" s="1" t="s">
        <v>20</v>
      </c>
    </row>
    <row r="245" spans="1:13">
      <c r="A245" s="1" t="s">
        <v>434</v>
      </c>
      <c r="B245" s="3">
        <v>45869</v>
      </c>
      <c r="C245" s="1" t="s">
        <v>89</v>
      </c>
      <c r="D245" s="1" t="s">
        <v>15</v>
      </c>
      <c r="E245" s="1" t="s">
        <v>16</v>
      </c>
      <c r="F245" s="1" t="s">
        <v>17</v>
      </c>
      <c r="G245" s="1" t="s">
        <v>24</v>
      </c>
      <c r="H245" s="1" t="s">
        <v>37</v>
      </c>
      <c r="I245" s="1">
        <v>1</v>
      </c>
      <c r="J245" s="4">
        <v>17273000</v>
      </c>
      <c r="K245" s="4">
        <v>14092000</v>
      </c>
      <c r="L245" s="4">
        <v>3181000</v>
      </c>
      <c r="M245" s="1" t="s">
        <v>20</v>
      </c>
    </row>
    <row r="246" spans="1:13">
      <c r="A246" s="1" t="s">
        <v>435</v>
      </c>
      <c r="B246" s="3">
        <v>45999</v>
      </c>
      <c r="C246" s="1" t="s">
        <v>436</v>
      </c>
      <c r="D246" s="1" t="s">
        <v>15</v>
      </c>
      <c r="E246" s="1" t="s">
        <v>64</v>
      </c>
      <c r="F246" s="1" t="s">
        <v>29</v>
      </c>
      <c r="G246" s="1" t="s">
        <v>24</v>
      </c>
      <c r="H246" s="1" t="s">
        <v>37</v>
      </c>
      <c r="I246" s="1">
        <v>1</v>
      </c>
      <c r="J246" s="4">
        <v>20725000</v>
      </c>
      <c r="K246" s="4">
        <v>18359000</v>
      </c>
      <c r="L246" s="4">
        <v>2366000</v>
      </c>
      <c r="M246" s="1" t="s">
        <v>20</v>
      </c>
    </row>
    <row r="247" spans="1:13">
      <c r="A247" s="1" t="s">
        <v>437</v>
      </c>
      <c r="B247" s="3">
        <v>45798</v>
      </c>
      <c r="C247" s="1" t="s">
        <v>177</v>
      </c>
      <c r="D247" s="1" t="s">
        <v>23</v>
      </c>
      <c r="E247" s="1" t="s">
        <v>57</v>
      </c>
      <c r="F247" s="1" t="s">
        <v>29</v>
      </c>
      <c r="G247" s="1" t="s">
        <v>18</v>
      </c>
      <c r="H247" s="1" t="s">
        <v>34</v>
      </c>
      <c r="I247" s="1">
        <v>1</v>
      </c>
      <c r="J247" s="4">
        <v>44321000</v>
      </c>
      <c r="K247" s="4">
        <v>35254000</v>
      </c>
      <c r="L247" s="4">
        <v>9067000</v>
      </c>
      <c r="M247" s="1" t="s">
        <v>20</v>
      </c>
    </row>
    <row r="248" spans="1:13">
      <c r="A248" s="1" t="s">
        <v>438</v>
      </c>
      <c r="B248" s="3">
        <v>45926</v>
      </c>
      <c r="C248" s="1" t="s">
        <v>439</v>
      </c>
      <c r="D248" s="1" t="s">
        <v>23</v>
      </c>
      <c r="E248" s="1" t="s">
        <v>16</v>
      </c>
      <c r="F248" s="1" t="s">
        <v>17</v>
      </c>
      <c r="G248" s="1" t="s">
        <v>49</v>
      </c>
      <c r="H248" s="1" t="s">
        <v>25</v>
      </c>
      <c r="I248" s="1">
        <v>1</v>
      </c>
      <c r="J248" s="4">
        <v>18828000</v>
      </c>
      <c r="K248" s="4">
        <v>14163000</v>
      </c>
      <c r="L248" s="4">
        <v>4665000</v>
      </c>
      <c r="M248" s="1" t="s">
        <v>20</v>
      </c>
    </row>
    <row r="249" spans="1:13">
      <c r="A249" s="1" t="s">
        <v>440</v>
      </c>
      <c r="B249" s="3">
        <v>45947</v>
      </c>
      <c r="C249" s="1" t="s">
        <v>196</v>
      </c>
      <c r="D249" s="1" t="s">
        <v>15</v>
      </c>
      <c r="E249" s="1" t="s">
        <v>54</v>
      </c>
      <c r="F249" s="1" t="s">
        <v>17</v>
      </c>
      <c r="G249" s="1" t="s">
        <v>18</v>
      </c>
      <c r="H249" s="1" t="s">
        <v>34</v>
      </c>
      <c r="I249" s="1">
        <v>1</v>
      </c>
      <c r="J249" s="4">
        <v>29858000</v>
      </c>
      <c r="K249" s="4">
        <v>22227000</v>
      </c>
      <c r="L249" s="4">
        <v>7631000</v>
      </c>
      <c r="M249" s="1" t="s">
        <v>69</v>
      </c>
    </row>
    <row r="250" spans="1:13">
      <c r="A250" s="1" t="s">
        <v>441</v>
      </c>
      <c r="B250" s="3">
        <v>45865</v>
      </c>
      <c r="C250" s="1" t="s">
        <v>442</v>
      </c>
      <c r="D250" s="1" t="s">
        <v>15</v>
      </c>
      <c r="E250" s="1" t="s">
        <v>44</v>
      </c>
      <c r="F250" s="1" t="s">
        <v>17</v>
      </c>
      <c r="G250" s="1" t="s">
        <v>41</v>
      </c>
      <c r="H250" s="1" t="s">
        <v>19</v>
      </c>
      <c r="I250" s="1">
        <v>1</v>
      </c>
      <c r="J250" s="4">
        <v>24943000</v>
      </c>
      <c r="K250" s="4">
        <v>21084000</v>
      </c>
      <c r="L250" s="4">
        <v>3859000</v>
      </c>
      <c r="M250" s="1" t="s">
        <v>20</v>
      </c>
    </row>
    <row r="251" spans="1:13">
      <c r="A251" s="1" t="s">
        <v>443</v>
      </c>
      <c r="B251" s="3">
        <v>45706</v>
      </c>
      <c r="C251" s="1" t="s">
        <v>444</v>
      </c>
      <c r="D251" s="1" t="s">
        <v>15</v>
      </c>
      <c r="E251" s="1" t="s">
        <v>64</v>
      </c>
      <c r="F251" s="1" t="s">
        <v>29</v>
      </c>
      <c r="G251" s="1" t="s">
        <v>18</v>
      </c>
      <c r="H251" s="1" t="s">
        <v>34</v>
      </c>
      <c r="I251" s="1">
        <v>1</v>
      </c>
      <c r="J251" s="4">
        <v>23258000</v>
      </c>
      <c r="K251" s="4">
        <v>18652000</v>
      </c>
      <c r="L251" s="4">
        <v>4606000</v>
      </c>
      <c r="M251" s="1" t="s">
        <v>20</v>
      </c>
    </row>
    <row r="252" spans="1:13">
      <c r="A252" s="1" t="s">
        <v>445</v>
      </c>
      <c r="B252" s="3">
        <v>46008</v>
      </c>
      <c r="C252" s="1" t="s">
        <v>386</v>
      </c>
      <c r="D252" s="1" t="s">
        <v>15</v>
      </c>
      <c r="E252" s="1" t="s">
        <v>64</v>
      </c>
      <c r="F252" s="1" t="s">
        <v>29</v>
      </c>
      <c r="G252" s="1" t="s">
        <v>30</v>
      </c>
      <c r="H252" s="1" t="s">
        <v>19</v>
      </c>
      <c r="I252" s="1">
        <v>1</v>
      </c>
      <c r="J252" s="4">
        <v>20774000</v>
      </c>
      <c r="K252" s="4">
        <v>19085000</v>
      </c>
      <c r="L252" s="4">
        <v>1689000</v>
      </c>
      <c r="M252" s="1" t="s">
        <v>20</v>
      </c>
    </row>
    <row r="253" spans="1:13">
      <c r="A253" s="1" t="s">
        <v>446</v>
      </c>
      <c r="B253" s="3">
        <v>45731</v>
      </c>
      <c r="C253" s="1" t="s">
        <v>39</v>
      </c>
      <c r="D253" s="1" t="s">
        <v>15</v>
      </c>
      <c r="E253" s="1" t="s">
        <v>40</v>
      </c>
      <c r="F253" s="1" t="s">
        <v>29</v>
      </c>
      <c r="G253" s="1" t="s">
        <v>49</v>
      </c>
      <c r="H253" s="1" t="s">
        <v>37</v>
      </c>
      <c r="I253" s="1">
        <v>1</v>
      </c>
      <c r="J253" s="4">
        <v>22800000</v>
      </c>
      <c r="K253" s="4">
        <v>19132000</v>
      </c>
      <c r="L253" s="4">
        <v>3668000</v>
      </c>
      <c r="M253" s="1" t="s">
        <v>20</v>
      </c>
    </row>
    <row r="254" spans="1:13">
      <c r="A254" s="1" t="s">
        <v>447</v>
      </c>
      <c r="B254" s="3">
        <v>45934</v>
      </c>
      <c r="C254" s="1" t="s">
        <v>362</v>
      </c>
      <c r="D254" s="1" t="s">
        <v>15</v>
      </c>
      <c r="E254" s="1" t="s">
        <v>44</v>
      </c>
      <c r="F254" s="1" t="s">
        <v>17</v>
      </c>
      <c r="G254" s="1" t="s">
        <v>41</v>
      </c>
      <c r="H254" s="1" t="s">
        <v>34</v>
      </c>
      <c r="I254" s="1">
        <v>1</v>
      </c>
      <c r="J254" s="4">
        <v>28315000</v>
      </c>
      <c r="K254" s="4">
        <v>22289000</v>
      </c>
      <c r="L254" s="4">
        <v>6026000</v>
      </c>
      <c r="M254" s="1" t="s">
        <v>20</v>
      </c>
    </row>
    <row r="255" spans="1:13">
      <c r="A255" s="1" t="s">
        <v>448</v>
      </c>
      <c r="B255" s="3">
        <v>45708</v>
      </c>
      <c r="C255" s="1" t="s">
        <v>46</v>
      </c>
      <c r="D255" s="1" t="s">
        <v>15</v>
      </c>
      <c r="E255" s="1" t="s">
        <v>44</v>
      </c>
      <c r="F255" s="1" t="s">
        <v>17</v>
      </c>
      <c r="G255" s="1" t="s">
        <v>41</v>
      </c>
      <c r="H255" s="1" t="s">
        <v>34</v>
      </c>
      <c r="I255" s="1">
        <v>1</v>
      </c>
      <c r="J255" s="4">
        <v>27559000</v>
      </c>
      <c r="K255" s="4">
        <v>22792000</v>
      </c>
      <c r="L255" s="4">
        <v>4767000</v>
      </c>
      <c r="M255" s="1" t="s">
        <v>20</v>
      </c>
    </row>
    <row r="256" spans="1:13">
      <c r="A256" s="1" t="s">
        <v>449</v>
      </c>
      <c r="B256" s="3">
        <v>45982</v>
      </c>
      <c r="C256" s="1" t="s">
        <v>233</v>
      </c>
      <c r="D256" s="1" t="s">
        <v>15</v>
      </c>
      <c r="E256" s="1" t="s">
        <v>54</v>
      </c>
      <c r="F256" s="1" t="s">
        <v>17</v>
      </c>
      <c r="G256" s="1" t="s">
        <v>24</v>
      </c>
      <c r="H256" s="1" t="s">
        <v>37</v>
      </c>
      <c r="I256" s="1">
        <v>1</v>
      </c>
      <c r="J256" s="4">
        <v>23049000</v>
      </c>
      <c r="K256" s="4">
        <v>24223000</v>
      </c>
      <c r="L256" s="4">
        <v>-1174000</v>
      </c>
      <c r="M256" s="1" t="s">
        <v>20</v>
      </c>
    </row>
    <row r="257" spans="1:13">
      <c r="A257" s="1" t="s">
        <v>450</v>
      </c>
      <c r="B257" s="3">
        <v>45852</v>
      </c>
      <c r="C257" s="1" t="s">
        <v>261</v>
      </c>
      <c r="D257" s="1" t="s">
        <v>15</v>
      </c>
      <c r="E257" s="1" t="s">
        <v>16</v>
      </c>
      <c r="F257" s="1" t="s">
        <v>17</v>
      </c>
      <c r="G257" s="1" t="s">
        <v>30</v>
      </c>
      <c r="H257" s="1" t="s">
        <v>37</v>
      </c>
      <c r="I257" s="1">
        <v>1</v>
      </c>
      <c r="J257" s="4">
        <v>18589000</v>
      </c>
      <c r="K257" s="4">
        <v>13894000</v>
      </c>
      <c r="L257" s="4">
        <v>4695000</v>
      </c>
      <c r="M257" s="1" t="s">
        <v>20</v>
      </c>
    </row>
    <row r="258" spans="1:13">
      <c r="A258" s="1" t="s">
        <v>451</v>
      </c>
      <c r="B258" s="3">
        <v>45857</v>
      </c>
      <c r="C258" s="1" t="s">
        <v>203</v>
      </c>
      <c r="D258" s="1" t="s">
        <v>23</v>
      </c>
      <c r="E258" s="1" t="s">
        <v>44</v>
      </c>
      <c r="F258" s="1" t="s">
        <v>17</v>
      </c>
      <c r="G258" s="1" t="s">
        <v>18</v>
      </c>
      <c r="H258" s="1" t="s">
        <v>31</v>
      </c>
      <c r="I258" s="1">
        <v>1</v>
      </c>
      <c r="J258" s="4">
        <v>25972000</v>
      </c>
      <c r="K258" s="4">
        <v>21495000</v>
      </c>
      <c r="L258" s="4">
        <v>4477000</v>
      </c>
      <c r="M258" s="1" t="s">
        <v>20</v>
      </c>
    </row>
    <row r="259" spans="1:13">
      <c r="A259" s="1" t="s">
        <v>452</v>
      </c>
      <c r="B259" s="3">
        <v>45878</v>
      </c>
      <c r="C259" s="1" t="s">
        <v>453</v>
      </c>
      <c r="D259" s="1" t="s">
        <v>23</v>
      </c>
      <c r="E259" s="1" t="s">
        <v>28</v>
      </c>
      <c r="F259" s="1" t="s">
        <v>29</v>
      </c>
      <c r="G259" s="1" t="s">
        <v>41</v>
      </c>
      <c r="H259" s="1" t="s">
        <v>25</v>
      </c>
      <c r="I259" s="1">
        <v>1</v>
      </c>
      <c r="J259" s="4">
        <v>49058000</v>
      </c>
      <c r="K259" s="4">
        <v>42865000</v>
      </c>
      <c r="L259" s="4">
        <v>6193000</v>
      </c>
      <c r="M259" s="1" t="s">
        <v>20</v>
      </c>
    </row>
    <row r="260" spans="1:13">
      <c r="A260" s="1" t="s">
        <v>454</v>
      </c>
      <c r="B260" s="3">
        <v>45664</v>
      </c>
      <c r="C260" s="1" t="s">
        <v>77</v>
      </c>
      <c r="D260" s="1" t="s">
        <v>23</v>
      </c>
      <c r="E260" s="1" t="s">
        <v>54</v>
      </c>
      <c r="F260" s="1" t="s">
        <v>17</v>
      </c>
      <c r="G260" s="1" t="s">
        <v>24</v>
      </c>
      <c r="H260" s="1" t="s">
        <v>31</v>
      </c>
      <c r="I260" s="1">
        <v>1</v>
      </c>
      <c r="J260" s="4">
        <v>30129000</v>
      </c>
      <c r="K260" s="4">
        <v>24140000</v>
      </c>
      <c r="L260" s="4">
        <v>5989000</v>
      </c>
      <c r="M260" s="1" t="s">
        <v>69</v>
      </c>
    </row>
    <row r="261" spans="1:13">
      <c r="A261" s="1" t="s">
        <v>455</v>
      </c>
      <c r="B261" s="3">
        <v>46008</v>
      </c>
      <c r="C261" s="1" t="s">
        <v>456</v>
      </c>
      <c r="D261" s="1" t="s">
        <v>23</v>
      </c>
      <c r="E261" s="1" t="s">
        <v>44</v>
      </c>
      <c r="F261" s="1" t="s">
        <v>17</v>
      </c>
      <c r="G261" s="1" t="s">
        <v>41</v>
      </c>
      <c r="H261" s="1" t="s">
        <v>25</v>
      </c>
      <c r="I261" s="1">
        <v>1</v>
      </c>
      <c r="J261" s="4">
        <v>26609000</v>
      </c>
      <c r="K261" s="4">
        <v>20848000</v>
      </c>
      <c r="L261" s="4">
        <v>5761000</v>
      </c>
      <c r="M261" s="1" t="s">
        <v>20</v>
      </c>
    </row>
    <row r="262" spans="1:13">
      <c r="A262" s="1" t="s">
        <v>457</v>
      </c>
      <c r="B262" s="3">
        <v>45697</v>
      </c>
      <c r="C262" s="1" t="s">
        <v>392</v>
      </c>
      <c r="D262" s="1" t="s">
        <v>15</v>
      </c>
      <c r="E262" s="1" t="s">
        <v>44</v>
      </c>
      <c r="F262" s="1" t="s">
        <v>17</v>
      </c>
      <c r="G262" s="1" t="s">
        <v>41</v>
      </c>
      <c r="H262" s="1" t="s">
        <v>34</v>
      </c>
      <c r="I262" s="1">
        <v>1</v>
      </c>
      <c r="J262" s="4">
        <v>26618000</v>
      </c>
      <c r="K262" s="4">
        <v>22054000</v>
      </c>
      <c r="L262" s="4">
        <v>4564000</v>
      </c>
      <c r="M262" s="1" t="s">
        <v>20</v>
      </c>
    </row>
    <row r="263" spans="1:13">
      <c r="A263" s="1" t="s">
        <v>458</v>
      </c>
      <c r="B263" s="3">
        <v>45860</v>
      </c>
      <c r="C263" s="1" t="s">
        <v>459</v>
      </c>
      <c r="D263" s="1" t="s">
        <v>15</v>
      </c>
      <c r="E263" s="1" t="s">
        <v>44</v>
      </c>
      <c r="F263" s="1" t="s">
        <v>17</v>
      </c>
      <c r="G263" s="1" t="s">
        <v>24</v>
      </c>
      <c r="H263" s="1" t="s">
        <v>31</v>
      </c>
      <c r="I263" s="1">
        <v>1</v>
      </c>
      <c r="J263" s="4">
        <v>26045000</v>
      </c>
      <c r="K263" s="4">
        <v>21440000</v>
      </c>
      <c r="L263" s="4">
        <v>4605000</v>
      </c>
      <c r="M263" s="1" t="s">
        <v>20</v>
      </c>
    </row>
    <row r="264" spans="1:13">
      <c r="A264" s="1" t="s">
        <v>460</v>
      </c>
      <c r="B264" s="3">
        <v>45811</v>
      </c>
      <c r="C264" s="1" t="s">
        <v>187</v>
      </c>
      <c r="D264" s="1" t="s">
        <v>15</v>
      </c>
      <c r="E264" s="1" t="s">
        <v>44</v>
      </c>
      <c r="F264" s="1" t="s">
        <v>17</v>
      </c>
      <c r="G264" s="1" t="s">
        <v>49</v>
      </c>
      <c r="H264" s="1" t="s">
        <v>19</v>
      </c>
      <c r="I264" s="1">
        <v>1</v>
      </c>
      <c r="J264" s="4">
        <v>18715000</v>
      </c>
      <c r="K264" s="4">
        <v>22813000</v>
      </c>
      <c r="L264" s="4">
        <v>-4098000</v>
      </c>
      <c r="M264" s="1" t="s">
        <v>69</v>
      </c>
    </row>
    <row r="265" spans="1:13">
      <c r="A265" s="1" t="s">
        <v>461</v>
      </c>
      <c r="B265" s="3">
        <v>45782</v>
      </c>
      <c r="C265" s="1" t="s">
        <v>14</v>
      </c>
      <c r="D265" s="1" t="s">
        <v>23</v>
      </c>
      <c r="E265" s="1" t="s">
        <v>44</v>
      </c>
      <c r="F265" s="1" t="s">
        <v>17</v>
      </c>
      <c r="G265" s="1" t="s">
        <v>30</v>
      </c>
      <c r="H265" s="1" t="s">
        <v>37</v>
      </c>
      <c r="I265" s="1">
        <v>1</v>
      </c>
      <c r="J265" s="4">
        <v>26167000</v>
      </c>
      <c r="K265" s="4">
        <v>22742000</v>
      </c>
      <c r="L265" s="4">
        <v>3425000</v>
      </c>
      <c r="M265" s="1" t="s">
        <v>20</v>
      </c>
    </row>
    <row r="266" spans="1:13">
      <c r="A266" s="1" t="s">
        <v>462</v>
      </c>
      <c r="B266" s="3">
        <v>45939</v>
      </c>
      <c r="C266" s="1" t="s">
        <v>36</v>
      </c>
      <c r="D266" s="1" t="s">
        <v>15</v>
      </c>
      <c r="E266" s="1" t="s">
        <v>16</v>
      </c>
      <c r="F266" s="1" t="s">
        <v>17</v>
      </c>
      <c r="G266" s="1" t="s">
        <v>49</v>
      </c>
      <c r="H266" s="1" t="s">
        <v>37</v>
      </c>
      <c r="I266" s="1">
        <v>2</v>
      </c>
      <c r="J266" s="4">
        <v>34821000</v>
      </c>
      <c r="K266" s="4">
        <v>29863000</v>
      </c>
      <c r="L266" s="4">
        <v>4958000</v>
      </c>
      <c r="M266" s="1" t="s">
        <v>20</v>
      </c>
    </row>
    <row r="267" spans="1:13">
      <c r="A267" s="1" t="s">
        <v>463</v>
      </c>
      <c r="B267" s="3">
        <v>45913</v>
      </c>
      <c r="C267" s="1" t="s">
        <v>397</v>
      </c>
      <c r="D267" s="1" t="s">
        <v>23</v>
      </c>
      <c r="E267" s="1" t="s">
        <v>16</v>
      </c>
      <c r="F267" s="1" t="s">
        <v>17</v>
      </c>
      <c r="G267" s="1" t="s">
        <v>24</v>
      </c>
      <c r="H267" s="1" t="s">
        <v>25</v>
      </c>
      <c r="I267" s="1">
        <v>1</v>
      </c>
      <c r="J267" s="4">
        <v>17281000</v>
      </c>
      <c r="K267" s="4">
        <v>14389000</v>
      </c>
      <c r="L267" s="4">
        <v>2892000</v>
      </c>
      <c r="M267" s="1" t="s">
        <v>20</v>
      </c>
    </row>
    <row r="268" spans="1:13">
      <c r="A268" s="1" t="s">
        <v>464</v>
      </c>
      <c r="B268" s="3">
        <v>45956</v>
      </c>
      <c r="C268" s="1" t="s">
        <v>465</v>
      </c>
      <c r="D268" s="1" t="s">
        <v>23</v>
      </c>
      <c r="E268" s="1" t="s">
        <v>44</v>
      </c>
      <c r="F268" s="1" t="s">
        <v>17</v>
      </c>
      <c r="G268" s="1" t="s">
        <v>24</v>
      </c>
      <c r="H268" s="1" t="s">
        <v>19</v>
      </c>
      <c r="I268" s="1">
        <v>2</v>
      </c>
      <c r="J268" s="4">
        <v>54586000</v>
      </c>
      <c r="K268" s="4">
        <v>43790000</v>
      </c>
      <c r="L268" s="4">
        <v>10796000</v>
      </c>
      <c r="M268" s="1" t="s">
        <v>20</v>
      </c>
    </row>
    <row r="269" spans="1:13">
      <c r="A269" s="1" t="s">
        <v>466</v>
      </c>
      <c r="B269" s="3">
        <v>45984</v>
      </c>
      <c r="C269" s="1" t="s">
        <v>467</v>
      </c>
      <c r="D269" s="1" t="s">
        <v>23</v>
      </c>
      <c r="E269" s="1" t="s">
        <v>64</v>
      </c>
      <c r="F269" s="1" t="s">
        <v>29</v>
      </c>
      <c r="G269" s="1" t="s">
        <v>49</v>
      </c>
      <c r="H269" s="1" t="s">
        <v>110</v>
      </c>
      <c r="I269" s="1">
        <v>1</v>
      </c>
      <c r="J269" s="4">
        <v>18516000</v>
      </c>
      <c r="K269" s="4">
        <v>17689000</v>
      </c>
      <c r="L269" s="4">
        <v>827000</v>
      </c>
      <c r="M269" s="1" t="s">
        <v>20</v>
      </c>
    </row>
    <row r="270" spans="1:13">
      <c r="A270" s="1" t="s">
        <v>468</v>
      </c>
      <c r="B270" s="3">
        <v>45878</v>
      </c>
      <c r="C270" s="1" t="s">
        <v>469</v>
      </c>
      <c r="D270" s="1" t="s">
        <v>23</v>
      </c>
      <c r="E270" s="1" t="s">
        <v>16</v>
      </c>
      <c r="F270" s="1" t="s">
        <v>17</v>
      </c>
      <c r="G270" s="1" t="s">
        <v>49</v>
      </c>
      <c r="H270" s="1" t="s">
        <v>110</v>
      </c>
      <c r="I270" s="1">
        <v>1</v>
      </c>
      <c r="J270" s="4">
        <v>18668000</v>
      </c>
      <c r="K270" s="4">
        <v>14584000</v>
      </c>
      <c r="L270" s="4">
        <v>4084000</v>
      </c>
      <c r="M270" s="1" t="s">
        <v>20</v>
      </c>
    </row>
    <row r="271" spans="1:13">
      <c r="A271" s="1" t="s">
        <v>470</v>
      </c>
      <c r="B271" s="3">
        <v>45858</v>
      </c>
      <c r="C271" s="1" t="s">
        <v>471</v>
      </c>
      <c r="D271" s="1" t="s">
        <v>15</v>
      </c>
      <c r="E271" s="1" t="s">
        <v>28</v>
      </c>
      <c r="F271" s="1" t="s">
        <v>29</v>
      </c>
      <c r="G271" s="1" t="s">
        <v>49</v>
      </c>
      <c r="H271" s="1" t="s">
        <v>34</v>
      </c>
      <c r="I271" s="1">
        <v>1</v>
      </c>
      <c r="J271" s="4">
        <v>49899000</v>
      </c>
      <c r="K271" s="4">
        <v>45665000</v>
      </c>
      <c r="L271" s="4">
        <v>4234000</v>
      </c>
      <c r="M271" s="1" t="s">
        <v>20</v>
      </c>
    </row>
    <row r="272" spans="1:13">
      <c r="A272" s="1" t="s">
        <v>472</v>
      </c>
      <c r="B272" s="3">
        <v>45717</v>
      </c>
      <c r="C272" s="1" t="s">
        <v>315</v>
      </c>
      <c r="D272" s="1" t="s">
        <v>15</v>
      </c>
      <c r="E272" s="1" t="s">
        <v>40</v>
      </c>
      <c r="F272" s="1" t="s">
        <v>29</v>
      </c>
      <c r="G272" s="1" t="s">
        <v>49</v>
      </c>
      <c r="H272" s="1" t="s">
        <v>34</v>
      </c>
      <c r="I272" s="1">
        <v>1</v>
      </c>
      <c r="J272" s="4">
        <v>23630000</v>
      </c>
      <c r="K272" s="4">
        <v>20363000</v>
      </c>
      <c r="L272" s="4">
        <v>3267000</v>
      </c>
      <c r="M272" s="1" t="s">
        <v>20</v>
      </c>
    </row>
    <row r="273" spans="1:13">
      <c r="A273" s="1" t="s">
        <v>473</v>
      </c>
      <c r="B273" s="3">
        <v>45882</v>
      </c>
      <c r="C273" s="1" t="s">
        <v>169</v>
      </c>
      <c r="D273" s="1" t="s">
        <v>23</v>
      </c>
      <c r="E273" s="1" t="s">
        <v>40</v>
      </c>
      <c r="F273" s="1" t="s">
        <v>29</v>
      </c>
      <c r="G273" s="1" t="s">
        <v>18</v>
      </c>
      <c r="H273" s="1" t="s">
        <v>37</v>
      </c>
      <c r="I273" s="1">
        <v>1</v>
      </c>
      <c r="J273" s="4">
        <v>22699000</v>
      </c>
      <c r="K273" s="4">
        <v>20217000</v>
      </c>
      <c r="L273" s="4">
        <v>2482000</v>
      </c>
      <c r="M273" s="1" t="s">
        <v>20</v>
      </c>
    </row>
    <row r="274" spans="1:13">
      <c r="A274" s="1" t="s">
        <v>474</v>
      </c>
      <c r="B274" s="3">
        <v>45742</v>
      </c>
      <c r="C274" s="1" t="s">
        <v>167</v>
      </c>
      <c r="D274" s="1" t="s">
        <v>15</v>
      </c>
      <c r="E274" s="1" t="s">
        <v>64</v>
      </c>
      <c r="F274" s="1" t="s">
        <v>29</v>
      </c>
      <c r="G274" s="1" t="s">
        <v>30</v>
      </c>
      <c r="H274" s="1" t="s">
        <v>25</v>
      </c>
      <c r="I274" s="1">
        <v>1</v>
      </c>
      <c r="J274" s="4">
        <v>22258000</v>
      </c>
      <c r="K274" s="4">
        <v>17991000</v>
      </c>
      <c r="L274" s="4">
        <v>4267000</v>
      </c>
      <c r="M274" s="1" t="s">
        <v>20</v>
      </c>
    </row>
    <row r="275" spans="1:13">
      <c r="A275" s="1" t="s">
        <v>475</v>
      </c>
      <c r="B275" s="3">
        <v>45980</v>
      </c>
      <c r="C275" s="1" t="s">
        <v>418</v>
      </c>
      <c r="D275" s="1" t="s">
        <v>15</v>
      </c>
      <c r="E275" s="1" t="s">
        <v>54</v>
      </c>
      <c r="F275" s="1" t="s">
        <v>17</v>
      </c>
      <c r="G275" s="1" t="s">
        <v>49</v>
      </c>
      <c r="H275" s="1" t="s">
        <v>25</v>
      </c>
      <c r="I275" s="1">
        <v>1</v>
      </c>
      <c r="J275" s="4">
        <v>22056000</v>
      </c>
      <c r="K275" s="4">
        <v>23465000</v>
      </c>
      <c r="L275" s="4">
        <v>-1409000</v>
      </c>
      <c r="M275" s="1" t="s">
        <v>20</v>
      </c>
    </row>
    <row r="276" spans="1:13">
      <c r="A276" s="1" t="s">
        <v>476</v>
      </c>
      <c r="B276" s="3">
        <v>45660</v>
      </c>
      <c r="C276" s="1" t="s">
        <v>312</v>
      </c>
      <c r="D276" s="1" t="s">
        <v>23</v>
      </c>
      <c r="E276" s="1" t="s">
        <v>40</v>
      </c>
      <c r="F276" s="1" t="s">
        <v>29</v>
      </c>
      <c r="G276" s="1" t="s">
        <v>24</v>
      </c>
      <c r="H276" s="1" t="s">
        <v>31</v>
      </c>
      <c r="I276" s="1">
        <v>1</v>
      </c>
      <c r="J276" s="4">
        <v>25083000</v>
      </c>
      <c r="K276" s="4">
        <v>18934000</v>
      </c>
      <c r="L276" s="4">
        <v>6149000</v>
      </c>
      <c r="M276" s="1" t="s">
        <v>20</v>
      </c>
    </row>
    <row r="277" spans="1:13">
      <c r="A277" s="1" t="s">
        <v>477</v>
      </c>
      <c r="B277" s="3">
        <v>45845</v>
      </c>
      <c r="C277" s="1" t="s">
        <v>321</v>
      </c>
      <c r="D277" s="1" t="s">
        <v>23</v>
      </c>
      <c r="E277" s="1" t="s">
        <v>44</v>
      </c>
      <c r="F277" s="1" t="s">
        <v>17</v>
      </c>
      <c r="G277" s="1" t="s">
        <v>49</v>
      </c>
      <c r="H277" s="1" t="s">
        <v>19</v>
      </c>
      <c r="I277" s="1">
        <v>1</v>
      </c>
      <c r="J277" s="4">
        <v>27882000</v>
      </c>
      <c r="K277" s="4">
        <v>21860000</v>
      </c>
      <c r="L277" s="4">
        <v>6022000</v>
      </c>
      <c r="M277" s="1" t="s">
        <v>20</v>
      </c>
    </row>
    <row r="278" spans="1:13">
      <c r="A278" s="1" t="s">
        <v>478</v>
      </c>
      <c r="B278" s="3">
        <v>45858</v>
      </c>
      <c r="C278" s="1" t="s">
        <v>125</v>
      </c>
      <c r="D278" s="1" t="s">
        <v>23</v>
      </c>
      <c r="E278" s="1" t="s">
        <v>57</v>
      </c>
      <c r="F278" s="1" t="s">
        <v>29</v>
      </c>
      <c r="G278" s="1" t="s">
        <v>24</v>
      </c>
      <c r="H278" s="1" t="s">
        <v>19</v>
      </c>
      <c r="I278" s="1">
        <v>2</v>
      </c>
      <c r="J278" s="4">
        <v>87742000</v>
      </c>
      <c r="K278" s="4">
        <v>73228000</v>
      </c>
      <c r="L278" s="4">
        <v>14514000</v>
      </c>
      <c r="M278" s="1" t="s">
        <v>20</v>
      </c>
    </row>
    <row r="279" spans="1:13">
      <c r="A279" s="1" t="s">
        <v>479</v>
      </c>
      <c r="B279" s="3">
        <v>45701</v>
      </c>
      <c r="C279" s="1" t="s">
        <v>300</v>
      </c>
      <c r="D279" s="1" t="s">
        <v>23</v>
      </c>
      <c r="E279" s="1" t="s">
        <v>60</v>
      </c>
      <c r="F279" s="1" t="s">
        <v>61</v>
      </c>
      <c r="G279" s="1" t="s">
        <v>49</v>
      </c>
      <c r="H279" s="1" t="s">
        <v>19</v>
      </c>
      <c r="I279" s="1">
        <v>1</v>
      </c>
      <c r="J279" s="4">
        <v>58267000</v>
      </c>
      <c r="K279" s="4">
        <v>49860000</v>
      </c>
      <c r="L279" s="4">
        <v>8407000</v>
      </c>
      <c r="M279" s="1" t="s">
        <v>20</v>
      </c>
    </row>
    <row r="280" spans="1:13">
      <c r="A280" s="1" t="s">
        <v>480</v>
      </c>
      <c r="B280" s="3">
        <v>45728</v>
      </c>
      <c r="C280" s="1" t="s">
        <v>481</v>
      </c>
      <c r="D280" s="1" t="s">
        <v>23</v>
      </c>
      <c r="E280" s="1" t="s">
        <v>57</v>
      </c>
      <c r="F280" s="1" t="s">
        <v>29</v>
      </c>
      <c r="G280" s="1" t="s">
        <v>24</v>
      </c>
      <c r="H280" s="1" t="s">
        <v>31</v>
      </c>
      <c r="I280" s="1">
        <v>1</v>
      </c>
      <c r="J280" s="4">
        <v>43424000</v>
      </c>
      <c r="K280" s="4">
        <v>36988000</v>
      </c>
      <c r="L280" s="4">
        <v>6436000</v>
      </c>
      <c r="M280" s="1" t="s">
        <v>20</v>
      </c>
    </row>
    <row r="281" spans="1:13">
      <c r="A281" s="1" t="s">
        <v>482</v>
      </c>
      <c r="B281" s="3">
        <v>45908</v>
      </c>
      <c r="C281" s="1" t="s">
        <v>85</v>
      </c>
      <c r="D281" s="1" t="s">
        <v>23</v>
      </c>
      <c r="E281" s="1" t="s">
        <v>54</v>
      </c>
      <c r="F281" s="1" t="s">
        <v>17</v>
      </c>
      <c r="G281" s="1" t="s">
        <v>30</v>
      </c>
      <c r="H281" s="1" t="s">
        <v>31</v>
      </c>
      <c r="I281" s="1">
        <v>2</v>
      </c>
      <c r="J281" s="4">
        <v>58170000</v>
      </c>
      <c r="K281" s="4">
        <v>48096000</v>
      </c>
      <c r="L281" s="4">
        <v>10074000</v>
      </c>
      <c r="M281" s="1" t="s">
        <v>69</v>
      </c>
    </row>
    <row r="282" spans="1:13">
      <c r="A282" s="1" t="s">
        <v>483</v>
      </c>
      <c r="B282" s="3">
        <v>45854</v>
      </c>
      <c r="C282" s="1" t="s">
        <v>66</v>
      </c>
      <c r="D282" s="1" t="s">
        <v>23</v>
      </c>
      <c r="E282" s="1" t="s">
        <v>64</v>
      </c>
      <c r="F282" s="1" t="s">
        <v>29</v>
      </c>
      <c r="G282" s="1" t="s">
        <v>30</v>
      </c>
      <c r="H282" s="1" t="s">
        <v>34</v>
      </c>
      <c r="I282" s="1">
        <v>1</v>
      </c>
      <c r="J282" s="4">
        <v>22638000</v>
      </c>
      <c r="K282" s="4">
        <v>18146000</v>
      </c>
      <c r="L282" s="4">
        <v>4492000</v>
      </c>
      <c r="M282" s="1" t="s">
        <v>20</v>
      </c>
    </row>
    <row r="283" spans="1:13">
      <c r="A283" s="1" t="s">
        <v>484</v>
      </c>
      <c r="B283" s="3">
        <v>45947</v>
      </c>
      <c r="C283" s="1" t="s">
        <v>33</v>
      </c>
      <c r="D283" s="1" t="s">
        <v>15</v>
      </c>
      <c r="E283" s="1" t="s">
        <v>16</v>
      </c>
      <c r="F283" s="1" t="s">
        <v>17</v>
      </c>
      <c r="G283" s="1" t="s">
        <v>24</v>
      </c>
      <c r="H283" s="1" t="s">
        <v>37</v>
      </c>
      <c r="I283" s="1">
        <v>1</v>
      </c>
      <c r="J283" s="4">
        <v>17563000</v>
      </c>
      <c r="K283" s="4">
        <v>14555000</v>
      </c>
      <c r="L283" s="4">
        <v>3008000</v>
      </c>
      <c r="M283" s="1" t="s">
        <v>20</v>
      </c>
    </row>
    <row r="284" spans="1:13">
      <c r="A284" s="1" t="s">
        <v>485</v>
      </c>
      <c r="B284" s="3">
        <v>45911</v>
      </c>
      <c r="C284" s="1" t="s">
        <v>210</v>
      </c>
      <c r="D284" s="1" t="s">
        <v>23</v>
      </c>
      <c r="E284" s="1" t="s">
        <v>57</v>
      </c>
      <c r="F284" s="1" t="s">
        <v>29</v>
      </c>
      <c r="G284" s="1" t="s">
        <v>18</v>
      </c>
      <c r="H284" s="1" t="s">
        <v>37</v>
      </c>
      <c r="I284" s="1">
        <v>1</v>
      </c>
      <c r="J284" s="4">
        <v>44753000</v>
      </c>
      <c r="K284" s="4">
        <v>36648000</v>
      </c>
      <c r="L284" s="4">
        <v>8105000</v>
      </c>
      <c r="M284" s="1" t="s">
        <v>20</v>
      </c>
    </row>
    <row r="285" spans="1:13">
      <c r="A285" s="1" t="s">
        <v>486</v>
      </c>
      <c r="B285" s="3">
        <v>45883</v>
      </c>
      <c r="C285" s="1" t="s">
        <v>414</v>
      </c>
      <c r="D285" s="1" t="s">
        <v>15</v>
      </c>
      <c r="E285" s="1" t="s">
        <v>57</v>
      </c>
      <c r="F285" s="1" t="s">
        <v>29</v>
      </c>
      <c r="G285" s="1" t="s">
        <v>49</v>
      </c>
      <c r="H285" s="1" t="s">
        <v>110</v>
      </c>
      <c r="I285" s="1">
        <v>1</v>
      </c>
      <c r="J285" s="4">
        <v>45060000</v>
      </c>
      <c r="K285" s="4">
        <v>36392000</v>
      </c>
      <c r="L285" s="4">
        <v>8668000</v>
      </c>
      <c r="M285" s="1" t="s">
        <v>20</v>
      </c>
    </row>
    <row r="286" spans="1:13">
      <c r="A286" s="1" t="s">
        <v>487</v>
      </c>
      <c r="B286" s="3">
        <v>45836</v>
      </c>
      <c r="C286" s="1" t="s">
        <v>394</v>
      </c>
      <c r="D286" s="1" t="s">
        <v>23</v>
      </c>
      <c r="E286" s="1" t="s">
        <v>64</v>
      </c>
      <c r="F286" s="1" t="s">
        <v>29</v>
      </c>
      <c r="G286" s="1" t="s">
        <v>24</v>
      </c>
      <c r="H286" s="1" t="s">
        <v>37</v>
      </c>
      <c r="I286" s="1">
        <v>2</v>
      </c>
      <c r="J286" s="4">
        <v>30263000</v>
      </c>
      <c r="K286" s="4">
        <v>37742000</v>
      </c>
      <c r="L286" s="4">
        <v>-7479000</v>
      </c>
      <c r="M286" s="1" t="s">
        <v>20</v>
      </c>
    </row>
    <row r="287" spans="1:13">
      <c r="A287" s="1" t="s">
        <v>488</v>
      </c>
      <c r="B287" s="3">
        <v>45837</v>
      </c>
      <c r="C287" s="1" t="s">
        <v>489</v>
      </c>
      <c r="D287" s="1" t="s">
        <v>15</v>
      </c>
      <c r="E287" s="1" t="s">
        <v>64</v>
      </c>
      <c r="F287" s="1" t="s">
        <v>29</v>
      </c>
      <c r="G287" s="1" t="s">
        <v>18</v>
      </c>
      <c r="H287" s="1" t="s">
        <v>19</v>
      </c>
      <c r="I287" s="1">
        <v>1</v>
      </c>
      <c r="J287" s="4">
        <v>16158000</v>
      </c>
      <c r="K287" s="4">
        <v>18821000</v>
      </c>
      <c r="L287" s="4">
        <v>-2663000</v>
      </c>
      <c r="M287" s="1" t="s">
        <v>20</v>
      </c>
    </row>
    <row r="288" spans="1:13">
      <c r="A288" s="1" t="s">
        <v>490</v>
      </c>
      <c r="B288" s="3">
        <v>45837</v>
      </c>
      <c r="C288" s="1" t="s">
        <v>491</v>
      </c>
      <c r="D288" s="1" t="s">
        <v>15</v>
      </c>
      <c r="E288" s="1" t="s">
        <v>57</v>
      </c>
      <c r="F288" s="1" t="s">
        <v>29</v>
      </c>
      <c r="G288" s="1" t="s">
        <v>24</v>
      </c>
      <c r="H288" s="1" t="s">
        <v>37</v>
      </c>
      <c r="I288" s="1">
        <v>1</v>
      </c>
      <c r="J288" s="4">
        <v>33043000</v>
      </c>
      <c r="K288" s="4">
        <v>34764000</v>
      </c>
      <c r="L288" s="4">
        <v>-1721000</v>
      </c>
      <c r="M288" s="1" t="s">
        <v>20</v>
      </c>
    </row>
    <row r="289" spans="1:13">
      <c r="A289" s="1" t="s">
        <v>492</v>
      </c>
      <c r="B289" s="3">
        <v>45706</v>
      </c>
      <c r="C289" s="1" t="s">
        <v>22</v>
      </c>
      <c r="D289" s="1" t="s">
        <v>15</v>
      </c>
      <c r="E289" s="1" t="s">
        <v>16</v>
      </c>
      <c r="F289" s="1" t="s">
        <v>17</v>
      </c>
      <c r="G289" s="1" t="s">
        <v>30</v>
      </c>
      <c r="H289" s="1" t="s">
        <v>31</v>
      </c>
      <c r="I289" s="1">
        <v>1</v>
      </c>
      <c r="J289" s="4">
        <v>17059000</v>
      </c>
      <c r="K289" s="4">
        <v>14177000</v>
      </c>
      <c r="L289" s="4">
        <v>2882000</v>
      </c>
      <c r="M289" s="1" t="s">
        <v>20</v>
      </c>
    </row>
    <row r="290" spans="1:13">
      <c r="A290" s="1" t="s">
        <v>493</v>
      </c>
      <c r="B290" s="3">
        <v>45732</v>
      </c>
      <c r="C290" s="1" t="s">
        <v>494</v>
      </c>
      <c r="D290" s="1" t="s">
        <v>15</v>
      </c>
      <c r="E290" s="1" t="s">
        <v>40</v>
      </c>
      <c r="F290" s="1" t="s">
        <v>29</v>
      </c>
      <c r="G290" s="1" t="s">
        <v>49</v>
      </c>
      <c r="H290" s="1" t="s">
        <v>25</v>
      </c>
      <c r="I290" s="1">
        <v>1</v>
      </c>
      <c r="J290" s="4">
        <v>24670000</v>
      </c>
      <c r="K290" s="4">
        <v>19779000</v>
      </c>
      <c r="L290" s="4">
        <v>4891000</v>
      </c>
      <c r="M290" s="1" t="s">
        <v>20</v>
      </c>
    </row>
    <row r="291" spans="1:13">
      <c r="A291" s="1" t="s">
        <v>495</v>
      </c>
      <c r="B291" s="3">
        <v>45889</v>
      </c>
      <c r="C291" s="1" t="s">
        <v>496</v>
      </c>
      <c r="D291" s="1" t="s">
        <v>15</v>
      </c>
      <c r="E291" s="1" t="s">
        <v>16</v>
      </c>
      <c r="F291" s="1" t="s">
        <v>17</v>
      </c>
      <c r="G291" s="1" t="s">
        <v>41</v>
      </c>
      <c r="H291" s="1" t="s">
        <v>25</v>
      </c>
      <c r="I291" s="1">
        <v>1</v>
      </c>
      <c r="J291" s="4">
        <v>17863000</v>
      </c>
      <c r="K291" s="4">
        <v>14862000</v>
      </c>
      <c r="L291" s="4">
        <v>3001000</v>
      </c>
      <c r="M291" s="1" t="s">
        <v>20</v>
      </c>
    </row>
    <row r="292" spans="1:13">
      <c r="A292" s="1" t="s">
        <v>497</v>
      </c>
      <c r="B292" s="3">
        <v>45907</v>
      </c>
      <c r="C292" s="1" t="s">
        <v>137</v>
      </c>
      <c r="D292" s="1" t="s">
        <v>23</v>
      </c>
      <c r="E292" s="1" t="s">
        <v>44</v>
      </c>
      <c r="F292" s="1" t="s">
        <v>17</v>
      </c>
      <c r="G292" s="1" t="s">
        <v>41</v>
      </c>
      <c r="H292" s="1" t="s">
        <v>34</v>
      </c>
      <c r="I292" s="1">
        <v>1</v>
      </c>
      <c r="J292" s="4">
        <v>27434000</v>
      </c>
      <c r="K292" s="4">
        <v>22303000</v>
      </c>
      <c r="L292" s="4">
        <v>5131000</v>
      </c>
      <c r="M292" s="1" t="s">
        <v>20</v>
      </c>
    </row>
    <row r="293" spans="1:13">
      <c r="A293" s="1" t="s">
        <v>498</v>
      </c>
      <c r="B293" s="3">
        <v>45931</v>
      </c>
      <c r="C293" s="1" t="s">
        <v>83</v>
      </c>
      <c r="D293" s="1" t="s">
        <v>15</v>
      </c>
      <c r="E293" s="1" t="s">
        <v>44</v>
      </c>
      <c r="F293" s="1" t="s">
        <v>17</v>
      </c>
      <c r="G293" s="1" t="s">
        <v>24</v>
      </c>
      <c r="H293" s="1" t="s">
        <v>31</v>
      </c>
      <c r="I293" s="1">
        <v>2</v>
      </c>
      <c r="J293" s="4">
        <v>53229000</v>
      </c>
      <c r="K293" s="4">
        <v>42828000</v>
      </c>
      <c r="L293" s="4">
        <v>10401000</v>
      </c>
      <c r="M293" s="1" t="s">
        <v>20</v>
      </c>
    </row>
    <row r="294" spans="1:13">
      <c r="A294" s="1" t="s">
        <v>499</v>
      </c>
      <c r="B294" s="3">
        <v>45947</v>
      </c>
      <c r="C294" s="1" t="s">
        <v>500</v>
      </c>
      <c r="D294" s="1" t="s">
        <v>15</v>
      </c>
      <c r="E294" s="1" t="s">
        <v>64</v>
      </c>
      <c r="F294" s="1" t="s">
        <v>29</v>
      </c>
      <c r="G294" s="1" t="s">
        <v>49</v>
      </c>
      <c r="H294" s="1" t="s">
        <v>34</v>
      </c>
      <c r="I294" s="1">
        <v>2</v>
      </c>
      <c r="J294" s="4">
        <v>45720000</v>
      </c>
      <c r="K294" s="4">
        <v>34938000</v>
      </c>
      <c r="L294" s="4">
        <v>10782000</v>
      </c>
      <c r="M294" s="1" t="s">
        <v>20</v>
      </c>
    </row>
    <row r="295" spans="1:13">
      <c r="A295" s="1" t="s">
        <v>501</v>
      </c>
      <c r="B295" s="3">
        <v>45721</v>
      </c>
      <c r="C295" s="1" t="s">
        <v>139</v>
      </c>
      <c r="D295" s="1" t="s">
        <v>23</v>
      </c>
      <c r="E295" s="1" t="s">
        <v>64</v>
      </c>
      <c r="F295" s="1" t="s">
        <v>29</v>
      </c>
      <c r="G295" s="1" t="s">
        <v>30</v>
      </c>
      <c r="H295" s="1" t="s">
        <v>37</v>
      </c>
      <c r="I295" s="1">
        <v>1</v>
      </c>
      <c r="J295" s="4">
        <v>23517000</v>
      </c>
      <c r="K295" s="4">
        <v>18168000</v>
      </c>
      <c r="L295" s="4">
        <v>5349000</v>
      </c>
      <c r="M295" s="1" t="s">
        <v>69</v>
      </c>
    </row>
    <row r="296" spans="1:13">
      <c r="A296" s="1" t="s">
        <v>502</v>
      </c>
      <c r="B296" s="3">
        <v>45812</v>
      </c>
      <c r="C296" s="1" t="s">
        <v>231</v>
      </c>
      <c r="D296" s="1" t="s">
        <v>15</v>
      </c>
      <c r="E296" s="1" t="s">
        <v>16</v>
      </c>
      <c r="F296" s="1" t="s">
        <v>17</v>
      </c>
      <c r="G296" s="1" t="s">
        <v>30</v>
      </c>
      <c r="H296" s="1" t="s">
        <v>34</v>
      </c>
      <c r="I296" s="1">
        <v>1</v>
      </c>
      <c r="J296" s="4">
        <v>13285000</v>
      </c>
      <c r="K296" s="4">
        <v>14138000</v>
      </c>
      <c r="L296" s="4">
        <v>-853000</v>
      </c>
      <c r="M296" s="1" t="s">
        <v>20</v>
      </c>
    </row>
    <row r="297" spans="1:13">
      <c r="A297" s="1" t="s">
        <v>503</v>
      </c>
      <c r="B297" s="3">
        <v>45860</v>
      </c>
      <c r="C297" s="1" t="s">
        <v>48</v>
      </c>
      <c r="D297" s="1" t="s">
        <v>15</v>
      </c>
      <c r="E297" s="1" t="s">
        <v>57</v>
      </c>
      <c r="F297" s="1" t="s">
        <v>29</v>
      </c>
      <c r="G297" s="1" t="s">
        <v>49</v>
      </c>
      <c r="H297" s="1" t="s">
        <v>34</v>
      </c>
      <c r="I297" s="1">
        <v>1</v>
      </c>
      <c r="J297" s="4">
        <v>42819000</v>
      </c>
      <c r="K297" s="4">
        <v>34049000</v>
      </c>
      <c r="L297" s="4">
        <v>8770000</v>
      </c>
      <c r="M297" s="1" t="s">
        <v>20</v>
      </c>
    </row>
    <row r="298" spans="1:13">
      <c r="A298" s="1" t="s">
        <v>504</v>
      </c>
      <c r="B298" s="3">
        <v>45725</v>
      </c>
      <c r="C298" s="1" t="s">
        <v>459</v>
      </c>
      <c r="D298" s="1" t="s">
        <v>23</v>
      </c>
      <c r="E298" s="1" t="s">
        <v>57</v>
      </c>
      <c r="F298" s="1" t="s">
        <v>29</v>
      </c>
      <c r="G298" s="1" t="s">
        <v>49</v>
      </c>
      <c r="H298" s="1" t="s">
        <v>37</v>
      </c>
      <c r="I298" s="1">
        <v>1</v>
      </c>
      <c r="J298" s="4">
        <v>40465000</v>
      </c>
      <c r="K298" s="4">
        <v>34945000</v>
      </c>
      <c r="L298" s="4">
        <v>5520000</v>
      </c>
      <c r="M298" s="1" t="s">
        <v>20</v>
      </c>
    </row>
    <row r="299" spans="1:13">
      <c r="A299" s="1" t="s">
        <v>505</v>
      </c>
      <c r="B299" s="3">
        <v>45725</v>
      </c>
      <c r="C299" s="1" t="s">
        <v>125</v>
      </c>
      <c r="D299" s="1" t="s">
        <v>23</v>
      </c>
      <c r="E299" s="1" t="s">
        <v>28</v>
      </c>
      <c r="F299" s="1" t="s">
        <v>29</v>
      </c>
      <c r="G299" s="1" t="s">
        <v>30</v>
      </c>
      <c r="H299" s="1" t="s">
        <v>25</v>
      </c>
      <c r="I299" s="1">
        <v>1</v>
      </c>
      <c r="J299" s="4">
        <v>54328000</v>
      </c>
      <c r="K299" s="4">
        <v>41774000</v>
      </c>
      <c r="L299" s="4">
        <v>12554000</v>
      </c>
      <c r="M299" s="1" t="s">
        <v>20</v>
      </c>
    </row>
    <row r="300" spans="1:13">
      <c r="A300" s="1" t="s">
        <v>506</v>
      </c>
      <c r="B300" s="3">
        <v>45726</v>
      </c>
      <c r="C300" s="1" t="s">
        <v>315</v>
      </c>
      <c r="D300" s="1" t="s">
        <v>15</v>
      </c>
      <c r="E300" s="1" t="s">
        <v>60</v>
      </c>
      <c r="F300" s="1" t="s">
        <v>61</v>
      </c>
      <c r="G300" s="1" t="s">
        <v>30</v>
      </c>
      <c r="H300" s="1" t="s">
        <v>37</v>
      </c>
      <c r="I300" s="1">
        <v>1</v>
      </c>
      <c r="J300" s="4">
        <v>61807000</v>
      </c>
      <c r="K300" s="4">
        <v>51057000</v>
      </c>
      <c r="L300" s="4">
        <v>10750000</v>
      </c>
      <c r="M300" s="1" t="s">
        <v>20</v>
      </c>
    </row>
    <row r="301" spans="1:13">
      <c r="A301" s="1" t="s">
        <v>507</v>
      </c>
      <c r="B301" s="3">
        <v>45735</v>
      </c>
      <c r="C301" s="1" t="s">
        <v>508</v>
      </c>
      <c r="D301" s="1" t="s">
        <v>15</v>
      </c>
      <c r="E301" s="1" t="s">
        <v>64</v>
      </c>
      <c r="F301" s="1" t="s">
        <v>29</v>
      </c>
      <c r="G301" s="1" t="s">
        <v>24</v>
      </c>
      <c r="H301" s="1" t="s">
        <v>37</v>
      </c>
      <c r="I301" s="1">
        <v>1</v>
      </c>
      <c r="J301" s="4">
        <v>21301000</v>
      </c>
      <c r="K301" s="4">
        <v>19026000</v>
      </c>
      <c r="L301" s="4">
        <v>2275000</v>
      </c>
      <c r="M301" s="1" t="s">
        <v>20</v>
      </c>
    </row>
    <row r="302" spans="1:13">
      <c r="A302" s="1" t="s">
        <v>509</v>
      </c>
      <c r="B302" s="3">
        <v>45854</v>
      </c>
      <c r="C302" s="1" t="s">
        <v>453</v>
      </c>
      <c r="D302" s="1" t="s">
        <v>23</v>
      </c>
      <c r="E302" s="1" t="s">
        <v>44</v>
      </c>
      <c r="F302" s="1" t="s">
        <v>17</v>
      </c>
      <c r="G302" s="1" t="s">
        <v>24</v>
      </c>
      <c r="H302" s="1" t="s">
        <v>37</v>
      </c>
      <c r="I302" s="1">
        <v>1</v>
      </c>
      <c r="J302" s="4">
        <v>25764000</v>
      </c>
      <c r="K302" s="4">
        <v>22115000</v>
      </c>
      <c r="L302" s="4">
        <v>3649000</v>
      </c>
      <c r="M302" s="1" t="s">
        <v>20</v>
      </c>
    </row>
    <row r="303" spans="1:13">
      <c r="A303" s="1" t="s">
        <v>510</v>
      </c>
      <c r="B303" s="3">
        <v>45969</v>
      </c>
      <c r="C303" s="1" t="s">
        <v>280</v>
      </c>
      <c r="D303" s="1" t="s">
        <v>15</v>
      </c>
      <c r="E303" s="1" t="s">
        <v>54</v>
      </c>
      <c r="F303" s="1" t="s">
        <v>17</v>
      </c>
      <c r="G303" s="1" t="s">
        <v>24</v>
      </c>
      <c r="H303" s="1" t="s">
        <v>31</v>
      </c>
      <c r="I303" s="1">
        <v>1</v>
      </c>
      <c r="J303" s="4">
        <v>24541000</v>
      </c>
      <c r="K303" s="4">
        <v>24072000</v>
      </c>
      <c r="L303" s="4">
        <v>469000</v>
      </c>
      <c r="M303" s="1" t="s">
        <v>20</v>
      </c>
    </row>
    <row r="304" spans="1:13">
      <c r="A304" s="1" t="s">
        <v>511</v>
      </c>
      <c r="B304" s="3">
        <v>45858</v>
      </c>
      <c r="C304" s="1" t="s">
        <v>512</v>
      </c>
      <c r="D304" s="1" t="s">
        <v>23</v>
      </c>
      <c r="E304" s="1" t="s">
        <v>54</v>
      </c>
      <c r="F304" s="1" t="s">
        <v>17</v>
      </c>
      <c r="G304" s="1" t="s">
        <v>24</v>
      </c>
      <c r="H304" s="1" t="s">
        <v>34</v>
      </c>
      <c r="I304" s="1">
        <v>2</v>
      </c>
      <c r="J304" s="4">
        <v>60654000</v>
      </c>
      <c r="K304" s="4">
        <v>46376000</v>
      </c>
      <c r="L304" s="4">
        <v>14278000</v>
      </c>
      <c r="M304" s="1" t="s">
        <v>20</v>
      </c>
    </row>
    <row r="305" spans="1:13">
      <c r="A305" s="1" t="s">
        <v>513</v>
      </c>
      <c r="B305" s="3">
        <v>45928</v>
      </c>
      <c r="C305" s="1" t="s">
        <v>456</v>
      </c>
      <c r="D305" s="1" t="s">
        <v>23</v>
      </c>
      <c r="E305" s="1" t="s">
        <v>64</v>
      </c>
      <c r="F305" s="1" t="s">
        <v>29</v>
      </c>
      <c r="G305" s="1" t="s">
        <v>41</v>
      </c>
      <c r="H305" s="1" t="s">
        <v>19</v>
      </c>
      <c r="I305" s="1">
        <v>1</v>
      </c>
      <c r="J305" s="4">
        <v>21585000</v>
      </c>
      <c r="K305" s="4">
        <v>18093000</v>
      </c>
      <c r="L305" s="4">
        <v>3492000</v>
      </c>
      <c r="M305" s="1" t="s">
        <v>20</v>
      </c>
    </row>
    <row r="306" spans="1:13">
      <c r="A306" s="1" t="s">
        <v>514</v>
      </c>
      <c r="B306" s="3">
        <v>46007</v>
      </c>
      <c r="C306" s="1" t="s">
        <v>515</v>
      </c>
      <c r="D306" s="1" t="s">
        <v>23</v>
      </c>
      <c r="E306" s="1" t="s">
        <v>16</v>
      </c>
      <c r="F306" s="1" t="s">
        <v>17</v>
      </c>
      <c r="G306" s="1" t="s">
        <v>18</v>
      </c>
      <c r="H306" s="1" t="s">
        <v>34</v>
      </c>
      <c r="I306" s="1">
        <v>3</v>
      </c>
      <c r="J306" s="4">
        <v>51272000</v>
      </c>
      <c r="K306" s="4">
        <v>43880000</v>
      </c>
      <c r="L306" s="4">
        <v>7392000</v>
      </c>
      <c r="M306" s="1" t="s">
        <v>20</v>
      </c>
    </row>
    <row r="307" spans="1:13">
      <c r="A307" s="1" t="s">
        <v>516</v>
      </c>
      <c r="B307" s="3">
        <v>45861</v>
      </c>
      <c r="C307" s="1" t="s">
        <v>241</v>
      </c>
      <c r="D307" s="1" t="s">
        <v>15</v>
      </c>
      <c r="E307" s="1" t="s">
        <v>28</v>
      </c>
      <c r="F307" s="1" t="s">
        <v>29</v>
      </c>
      <c r="G307" s="1" t="s">
        <v>24</v>
      </c>
      <c r="H307" s="1" t="s">
        <v>19</v>
      </c>
      <c r="I307" s="1">
        <v>1</v>
      </c>
      <c r="J307" s="4">
        <v>51688000</v>
      </c>
      <c r="K307" s="4">
        <v>44378000</v>
      </c>
      <c r="L307" s="4">
        <v>7310000</v>
      </c>
      <c r="M307" s="1" t="s">
        <v>20</v>
      </c>
    </row>
    <row r="308" spans="1:13">
      <c r="A308" s="1" t="s">
        <v>517</v>
      </c>
      <c r="B308" s="3">
        <v>45736</v>
      </c>
      <c r="C308" s="1" t="s">
        <v>518</v>
      </c>
      <c r="D308" s="1" t="s">
        <v>23</v>
      </c>
      <c r="E308" s="1" t="s">
        <v>54</v>
      </c>
      <c r="F308" s="1" t="s">
        <v>17</v>
      </c>
      <c r="G308" s="1" t="s">
        <v>24</v>
      </c>
      <c r="H308" s="1" t="s">
        <v>37</v>
      </c>
      <c r="I308" s="1">
        <v>1</v>
      </c>
      <c r="J308" s="4">
        <v>27543000</v>
      </c>
      <c r="K308" s="4">
        <v>23915000</v>
      </c>
      <c r="L308" s="4">
        <v>3628000</v>
      </c>
      <c r="M308" s="1" t="s">
        <v>20</v>
      </c>
    </row>
    <row r="309" spans="1:13">
      <c r="A309" s="1" t="s">
        <v>519</v>
      </c>
      <c r="B309" s="3">
        <v>45990</v>
      </c>
      <c r="C309" s="1" t="s">
        <v>200</v>
      </c>
      <c r="D309" s="1" t="s">
        <v>23</v>
      </c>
      <c r="E309" s="1" t="s">
        <v>60</v>
      </c>
      <c r="F309" s="1" t="s">
        <v>61</v>
      </c>
      <c r="G309" s="1" t="s">
        <v>49</v>
      </c>
      <c r="H309" s="1" t="s">
        <v>34</v>
      </c>
      <c r="I309" s="1">
        <v>1</v>
      </c>
      <c r="J309" s="4">
        <v>51765000</v>
      </c>
      <c r="K309" s="4">
        <v>52250000</v>
      </c>
      <c r="L309" s="4">
        <v>-485000</v>
      </c>
      <c r="M309" s="1" t="s">
        <v>20</v>
      </c>
    </row>
    <row r="310" spans="1:13">
      <c r="A310" s="1" t="s">
        <v>520</v>
      </c>
      <c r="B310" s="3">
        <v>45890</v>
      </c>
      <c r="C310" s="1" t="s">
        <v>143</v>
      </c>
      <c r="D310" s="1" t="s">
        <v>23</v>
      </c>
      <c r="E310" s="1" t="s">
        <v>57</v>
      </c>
      <c r="F310" s="1" t="s">
        <v>29</v>
      </c>
      <c r="G310" s="1" t="s">
        <v>18</v>
      </c>
      <c r="H310" s="1" t="s">
        <v>31</v>
      </c>
      <c r="I310" s="1">
        <v>1</v>
      </c>
      <c r="J310" s="4">
        <v>44099000</v>
      </c>
      <c r="K310" s="4">
        <v>34349000</v>
      </c>
      <c r="L310" s="4">
        <v>9750000</v>
      </c>
      <c r="M310" s="1" t="s">
        <v>20</v>
      </c>
    </row>
    <row r="311" spans="1:13">
      <c r="A311" s="1" t="s">
        <v>521</v>
      </c>
      <c r="B311" s="3">
        <v>45912</v>
      </c>
      <c r="C311" s="1" t="s">
        <v>522</v>
      </c>
      <c r="D311" s="1" t="s">
        <v>23</v>
      </c>
      <c r="E311" s="1" t="s">
        <v>64</v>
      </c>
      <c r="F311" s="1" t="s">
        <v>29</v>
      </c>
      <c r="G311" s="1" t="s">
        <v>41</v>
      </c>
      <c r="H311" s="1" t="s">
        <v>37</v>
      </c>
      <c r="I311" s="1">
        <v>1</v>
      </c>
      <c r="J311" s="4">
        <v>22741000</v>
      </c>
      <c r="K311" s="4">
        <v>17691000</v>
      </c>
      <c r="L311" s="4">
        <v>5050000</v>
      </c>
      <c r="M311" s="1" t="s">
        <v>20</v>
      </c>
    </row>
    <row r="312" spans="1:13">
      <c r="A312" s="1" t="s">
        <v>523</v>
      </c>
      <c r="B312" s="3">
        <v>45718</v>
      </c>
      <c r="C312" s="1" t="s">
        <v>524</v>
      </c>
      <c r="D312" s="1" t="s">
        <v>23</v>
      </c>
      <c r="E312" s="1" t="s">
        <v>40</v>
      </c>
      <c r="F312" s="1" t="s">
        <v>29</v>
      </c>
      <c r="G312" s="1" t="s">
        <v>18</v>
      </c>
      <c r="H312" s="1" t="s">
        <v>25</v>
      </c>
      <c r="I312" s="1">
        <v>1</v>
      </c>
      <c r="J312" s="4">
        <v>23409000</v>
      </c>
      <c r="K312" s="4">
        <v>18936000</v>
      </c>
      <c r="L312" s="4">
        <v>4473000</v>
      </c>
      <c r="M312" s="1" t="s">
        <v>20</v>
      </c>
    </row>
    <row r="313" spans="1:13">
      <c r="A313" s="1" t="s">
        <v>525</v>
      </c>
      <c r="B313" s="3">
        <v>45891</v>
      </c>
      <c r="C313" s="1" t="s">
        <v>163</v>
      </c>
      <c r="D313" s="1" t="s">
        <v>23</v>
      </c>
      <c r="E313" s="1" t="s">
        <v>28</v>
      </c>
      <c r="F313" s="1" t="s">
        <v>29</v>
      </c>
      <c r="G313" s="1" t="s">
        <v>24</v>
      </c>
      <c r="H313" s="1" t="s">
        <v>37</v>
      </c>
      <c r="I313" s="1">
        <v>2</v>
      </c>
      <c r="J313" s="4">
        <v>100016000</v>
      </c>
      <c r="K313" s="4">
        <v>84019000</v>
      </c>
      <c r="L313" s="4">
        <v>15997000</v>
      </c>
      <c r="M313" s="1" t="s">
        <v>20</v>
      </c>
    </row>
    <row r="314" spans="1:13">
      <c r="A314" s="1" t="s">
        <v>526</v>
      </c>
      <c r="B314" s="3">
        <v>45717</v>
      </c>
      <c r="C314" s="1" t="s">
        <v>527</v>
      </c>
      <c r="D314" s="1" t="s">
        <v>23</v>
      </c>
      <c r="E314" s="1" t="s">
        <v>54</v>
      </c>
      <c r="F314" s="1" t="s">
        <v>17</v>
      </c>
      <c r="G314" s="1" t="s">
        <v>30</v>
      </c>
      <c r="H314" s="1" t="s">
        <v>31</v>
      </c>
      <c r="I314" s="1">
        <v>1</v>
      </c>
      <c r="J314" s="4">
        <v>29987000</v>
      </c>
      <c r="K314" s="4">
        <v>22607000</v>
      </c>
      <c r="L314" s="4">
        <v>7380000</v>
      </c>
      <c r="M314" s="1" t="s">
        <v>20</v>
      </c>
    </row>
    <row r="315" spans="1:13">
      <c r="A315" s="1" t="s">
        <v>528</v>
      </c>
      <c r="B315" s="3">
        <v>45676</v>
      </c>
      <c r="C315" s="1" t="s">
        <v>410</v>
      </c>
      <c r="D315" s="1" t="s">
        <v>15</v>
      </c>
      <c r="E315" s="1" t="s">
        <v>57</v>
      </c>
      <c r="F315" s="1" t="s">
        <v>29</v>
      </c>
      <c r="G315" s="1" t="s">
        <v>41</v>
      </c>
      <c r="H315" s="1" t="s">
        <v>110</v>
      </c>
      <c r="I315" s="1">
        <v>1</v>
      </c>
      <c r="J315" s="4">
        <v>42764000</v>
      </c>
      <c r="K315" s="4">
        <v>34867000</v>
      </c>
      <c r="L315" s="4">
        <v>7897000</v>
      </c>
      <c r="M315" s="1" t="s">
        <v>20</v>
      </c>
    </row>
    <row r="316" spans="1:13">
      <c r="A316" s="1" t="s">
        <v>529</v>
      </c>
      <c r="B316" s="3">
        <v>45697</v>
      </c>
      <c r="C316" s="1" t="s">
        <v>259</v>
      </c>
      <c r="D316" s="1" t="s">
        <v>23</v>
      </c>
      <c r="E316" s="1" t="s">
        <v>57</v>
      </c>
      <c r="F316" s="1" t="s">
        <v>29</v>
      </c>
      <c r="G316" s="1" t="s">
        <v>49</v>
      </c>
      <c r="H316" s="1" t="s">
        <v>34</v>
      </c>
      <c r="I316" s="1">
        <v>1</v>
      </c>
      <c r="J316" s="4">
        <v>40714000</v>
      </c>
      <c r="K316" s="4">
        <v>34517000</v>
      </c>
      <c r="L316" s="4">
        <v>6197000</v>
      </c>
      <c r="M316" s="1" t="s">
        <v>20</v>
      </c>
    </row>
    <row r="317" spans="1:13">
      <c r="A317" s="1" t="s">
        <v>530</v>
      </c>
      <c r="B317" s="3">
        <v>45896</v>
      </c>
      <c r="C317" s="1" t="s">
        <v>187</v>
      </c>
      <c r="D317" s="1" t="s">
        <v>15</v>
      </c>
      <c r="E317" s="1" t="s">
        <v>64</v>
      </c>
      <c r="F317" s="1" t="s">
        <v>29</v>
      </c>
      <c r="G317" s="1" t="s">
        <v>24</v>
      </c>
      <c r="H317" s="1" t="s">
        <v>110</v>
      </c>
      <c r="I317" s="1">
        <v>1</v>
      </c>
      <c r="J317" s="4">
        <v>20927000</v>
      </c>
      <c r="K317" s="4">
        <v>18221000</v>
      </c>
      <c r="L317" s="4">
        <v>2706000</v>
      </c>
      <c r="M317" s="1" t="s">
        <v>20</v>
      </c>
    </row>
    <row r="318" spans="1:13">
      <c r="A318" s="1" t="s">
        <v>531</v>
      </c>
      <c r="B318" s="3">
        <v>45976</v>
      </c>
      <c r="C318" s="1" t="s">
        <v>14</v>
      </c>
      <c r="D318" s="1" t="s">
        <v>23</v>
      </c>
      <c r="E318" s="1" t="s">
        <v>54</v>
      </c>
      <c r="F318" s="1" t="s">
        <v>17</v>
      </c>
      <c r="G318" s="1" t="s">
        <v>30</v>
      </c>
      <c r="H318" s="1" t="s">
        <v>31</v>
      </c>
      <c r="I318" s="1">
        <v>3</v>
      </c>
      <c r="J318" s="4">
        <v>74998000</v>
      </c>
      <c r="K318" s="4">
        <v>71520000</v>
      </c>
      <c r="L318" s="4">
        <v>3478000</v>
      </c>
      <c r="M318" s="1" t="s">
        <v>20</v>
      </c>
    </row>
    <row r="319" spans="1:13">
      <c r="A319" s="1" t="s">
        <v>532</v>
      </c>
      <c r="B319" s="3">
        <v>45661</v>
      </c>
      <c r="C319" s="1" t="s">
        <v>105</v>
      </c>
      <c r="D319" s="1" t="s">
        <v>23</v>
      </c>
      <c r="E319" s="1" t="s">
        <v>64</v>
      </c>
      <c r="F319" s="1" t="s">
        <v>29</v>
      </c>
      <c r="G319" s="1" t="s">
        <v>18</v>
      </c>
      <c r="H319" s="1" t="s">
        <v>37</v>
      </c>
      <c r="I319" s="1">
        <v>1</v>
      </c>
      <c r="J319" s="4">
        <v>22499000</v>
      </c>
      <c r="K319" s="4">
        <v>18654000</v>
      </c>
      <c r="L319" s="4">
        <v>3845000</v>
      </c>
      <c r="M319" s="1" t="s">
        <v>20</v>
      </c>
    </row>
    <row r="320" spans="1:13">
      <c r="A320" s="1" t="s">
        <v>533</v>
      </c>
      <c r="B320" s="3">
        <v>45850</v>
      </c>
      <c r="C320" s="1" t="s">
        <v>89</v>
      </c>
      <c r="D320" s="1" t="s">
        <v>15</v>
      </c>
      <c r="E320" s="1" t="s">
        <v>40</v>
      </c>
      <c r="F320" s="1" t="s">
        <v>29</v>
      </c>
      <c r="G320" s="1" t="s">
        <v>30</v>
      </c>
      <c r="H320" s="1" t="s">
        <v>37</v>
      </c>
      <c r="I320" s="1">
        <v>1</v>
      </c>
      <c r="J320" s="4">
        <v>24213000</v>
      </c>
      <c r="K320" s="4">
        <v>19282000</v>
      </c>
      <c r="L320" s="4">
        <v>4931000</v>
      </c>
      <c r="M320" s="1" t="s">
        <v>20</v>
      </c>
    </row>
    <row r="321" spans="1:13">
      <c r="A321" s="1" t="s">
        <v>534</v>
      </c>
      <c r="B321" s="3">
        <v>45801</v>
      </c>
      <c r="C321" s="1" t="s">
        <v>362</v>
      </c>
      <c r="D321" s="1" t="s">
        <v>15</v>
      </c>
      <c r="E321" s="1" t="s">
        <v>16</v>
      </c>
      <c r="F321" s="1" t="s">
        <v>17</v>
      </c>
      <c r="G321" s="1" t="s">
        <v>18</v>
      </c>
      <c r="H321" s="1" t="s">
        <v>19</v>
      </c>
      <c r="I321" s="1">
        <v>2</v>
      </c>
      <c r="J321" s="4">
        <v>36272000</v>
      </c>
      <c r="K321" s="4">
        <v>29582000</v>
      </c>
      <c r="L321" s="4">
        <v>6690000</v>
      </c>
      <c r="M321" s="1" t="s">
        <v>20</v>
      </c>
    </row>
    <row r="322" spans="1:13">
      <c r="A322" s="1" t="s">
        <v>535</v>
      </c>
      <c r="B322" s="3">
        <v>45706</v>
      </c>
      <c r="C322" s="1" t="s">
        <v>203</v>
      </c>
      <c r="D322" s="1" t="s">
        <v>15</v>
      </c>
      <c r="E322" s="1" t="s">
        <v>28</v>
      </c>
      <c r="F322" s="1" t="s">
        <v>29</v>
      </c>
      <c r="G322" s="1" t="s">
        <v>30</v>
      </c>
      <c r="H322" s="1" t="s">
        <v>110</v>
      </c>
      <c r="I322" s="1">
        <v>1</v>
      </c>
      <c r="J322" s="4">
        <v>52881000</v>
      </c>
      <c r="K322" s="4">
        <v>41596000</v>
      </c>
      <c r="L322" s="4">
        <v>11285000</v>
      </c>
      <c r="M322" s="1" t="s">
        <v>20</v>
      </c>
    </row>
    <row r="323" spans="1:13">
      <c r="A323" s="1" t="s">
        <v>536</v>
      </c>
      <c r="B323" s="3">
        <v>45791</v>
      </c>
      <c r="C323" s="1" t="s">
        <v>243</v>
      </c>
      <c r="D323" s="1" t="s">
        <v>15</v>
      </c>
      <c r="E323" s="1" t="s">
        <v>64</v>
      </c>
      <c r="F323" s="1" t="s">
        <v>29</v>
      </c>
      <c r="G323" s="1" t="s">
        <v>18</v>
      </c>
      <c r="H323" s="1" t="s">
        <v>31</v>
      </c>
      <c r="I323" s="1">
        <v>1</v>
      </c>
      <c r="J323" s="4">
        <v>23059000</v>
      </c>
      <c r="K323" s="4">
        <v>17982000</v>
      </c>
      <c r="L323" s="4">
        <v>5077000</v>
      </c>
      <c r="M323" s="1" t="s">
        <v>20</v>
      </c>
    </row>
    <row r="324" spans="1:13">
      <c r="A324" s="1" t="s">
        <v>537</v>
      </c>
      <c r="B324" s="3">
        <v>45727</v>
      </c>
      <c r="C324" s="1" t="s">
        <v>241</v>
      </c>
      <c r="D324" s="1" t="s">
        <v>15</v>
      </c>
      <c r="E324" s="1" t="s">
        <v>40</v>
      </c>
      <c r="F324" s="1" t="s">
        <v>29</v>
      </c>
      <c r="G324" s="1" t="s">
        <v>41</v>
      </c>
      <c r="H324" s="1" t="s">
        <v>31</v>
      </c>
      <c r="I324" s="1">
        <v>1</v>
      </c>
      <c r="J324" s="4">
        <v>23073000</v>
      </c>
      <c r="K324" s="4">
        <v>19733000</v>
      </c>
      <c r="L324" s="4">
        <v>3340000</v>
      </c>
      <c r="M324" s="1" t="s">
        <v>20</v>
      </c>
    </row>
    <row r="325" spans="1:13">
      <c r="A325" s="1" t="s">
        <v>538</v>
      </c>
      <c r="B325" s="3">
        <v>45889</v>
      </c>
      <c r="C325" s="1" t="s">
        <v>328</v>
      </c>
      <c r="D325" s="1" t="s">
        <v>23</v>
      </c>
      <c r="E325" s="1" t="s">
        <v>54</v>
      </c>
      <c r="F325" s="1" t="s">
        <v>17</v>
      </c>
      <c r="G325" s="1" t="s">
        <v>24</v>
      </c>
      <c r="H325" s="1" t="s">
        <v>34</v>
      </c>
      <c r="I325" s="1">
        <v>1</v>
      </c>
      <c r="J325" s="4">
        <v>27374000</v>
      </c>
      <c r="K325" s="4">
        <v>23632000</v>
      </c>
      <c r="L325" s="4">
        <v>3742000</v>
      </c>
      <c r="M325" s="1" t="s">
        <v>20</v>
      </c>
    </row>
    <row r="326" spans="1:13">
      <c r="A326" s="1" t="s">
        <v>539</v>
      </c>
      <c r="B326" s="3">
        <v>45768</v>
      </c>
      <c r="C326" s="1" t="s">
        <v>127</v>
      </c>
      <c r="D326" s="1" t="s">
        <v>23</v>
      </c>
      <c r="E326" s="1" t="s">
        <v>40</v>
      </c>
      <c r="F326" s="1" t="s">
        <v>29</v>
      </c>
      <c r="G326" s="1" t="s">
        <v>41</v>
      </c>
      <c r="H326" s="1" t="s">
        <v>110</v>
      </c>
      <c r="I326" s="1">
        <v>1</v>
      </c>
      <c r="J326" s="4">
        <v>23334000</v>
      </c>
      <c r="K326" s="4">
        <v>19514000</v>
      </c>
      <c r="L326" s="4">
        <v>3820000</v>
      </c>
      <c r="M326" s="1" t="s">
        <v>20</v>
      </c>
    </row>
    <row r="327" spans="1:13">
      <c r="A327" s="1" t="s">
        <v>540</v>
      </c>
      <c r="B327" s="3">
        <v>45747</v>
      </c>
      <c r="C327" s="1" t="s">
        <v>541</v>
      </c>
      <c r="D327" s="1" t="s">
        <v>23</v>
      </c>
      <c r="E327" s="1" t="s">
        <v>16</v>
      </c>
      <c r="F327" s="1" t="s">
        <v>17</v>
      </c>
      <c r="G327" s="1" t="s">
        <v>30</v>
      </c>
      <c r="H327" s="1" t="s">
        <v>34</v>
      </c>
      <c r="I327" s="1">
        <v>1</v>
      </c>
      <c r="J327" s="4">
        <v>18671000</v>
      </c>
      <c r="K327" s="4">
        <v>14137000</v>
      </c>
      <c r="L327" s="4">
        <v>4534000</v>
      </c>
      <c r="M327" s="1" t="s">
        <v>20</v>
      </c>
    </row>
    <row r="328" spans="1:13">
      <c r="A328" s="1" t="s">
        <v>542</v>
      </c>
      <c r="B328" s="3">
        <v>45664</v>
      </c>
      <c r="C328" s="1" t="s">
        <v>400</v>
      </c>
      <c r="D328" s="1" t="s">
        <v>15</v>
      </c>
      <c r="E328" s="1" t="s">
        <v>16</v>
      </c>
      <c r="F328" s="1" t="s">
        <v>17</v>
      </c>
      <c r="G328" s="1" t="s">
        <v>18</v>
      </c>
      <c r="H328" s="1" t="s">
        <v>19</v>
      </c>
      <c r="I328" s="1">
        <v>1</v>
      </c>
      <c r="J328" s="4">
        <v>17384000</v>
      </c>
      <c r="K328" s="4">
        <v>14356000</v>
      </c>
      <c r="L328" s="4">
        <v>3028000</v>
      </c>
      <c r="M328" s="1" t="s">
        <v>20</v>
      </c>
    </row>
    <row r="329" spans="1:13">
      <c r="A329" s="1" t="s">
        <v>543</v>
      </c>
      <c r="B329" s="3">
        <v>45958</v>
      </c>
      <c r="C329" s="1" t="s">
        <v>252</v>
      </c>
      <c r="D329" s="1" t="s">
        <v>15</v>
      </c>
      <c r="E329" s="1" t="s">
        <v>54</v>
      </c>
      <c r="F329" s="1" t="s">
        <v>17</v>
      </c>
      <c r="G329" s="1" t="s">
        <v>18</v>
      </c>
      <c r="H329" s="1" t="s">
        <v>110</v>
      </c>
      <c r="I329" s="1">
        <v>1</v>
      </c>
      <c r="J329" s="4">
        <v>27029000</v>
      </c>
      <c r="K329" s="4">
        <v>24134000</v>
      </c>
      <c r="L329" s="4">
        <v>2895000</v>
      </c>
      <c r="M329" s="1" t="s">
        <v>20</v>
      </c>
    </row>
    <row r="330" spans="1:13">
      <c r="A330" s="1" t="s">
        <v>544</v>
      </c>
      <c r="B330" s="3">
        <v>45720</v>
      </c>
      <c r="C330" s="1" t="s">
        <v>147</v>
      </c>
      <c r="D330" s="1" t="s">
        <v>23</v>
      </c>
      <c r="E330" s="1" t="s">
        <v>16</v>
      </c>
      <c r="F330" s="1" t="s">
        <v>17</v>
      </c>
      <c r="G330" s="1" t="s">
        <v>49</v>
      </c>
      <c r="H330" s="1" t="s">
        <v>37</v>
      </c>
      <c r="I330" s="1">
        <v>1</v>
      </c>
      <c r="J330" s="4">
        <v>18263000</v>
      </c>
      <c r="K330" s="4">
        <v>14966000</v>
      </c>
      <c r="L330" s="4">
        <v>3297000</v>
      </c>
      <c r="M330" s="1" t="s">
        <v>20</v>
      </c>
    </row>
    <row r="331" spans="1:13">
      <c r="A331" s="1" t="s">
        <v>545</v>
      </c>
      <c r="B331" s="3">
        <v>45876</v>
      </c>
      <c r="C331" s="1" t="s">
        <v>93</v>
      </c>
      <c r="D331" s="1" t="s">
        <v>23</v>
      </c>
      <c r="E331" s="1" t="s">
        <v>16</v>
      </c>
      <c r="F331" s="1" t="s">
        <v>17</v>
      </c>
      <c r="G331" s="1" t="s">
        <v>24</v>
      </c>
      <c r="H331" s="1" t="s">
        <v>31</v>
      </c>
      <c r="I331" s="1">
        <v>1</v>
      </c>
      <c r="J331" s="4">
        <v>17575000</v>
      </c>
      <c r="K331" s="4">
        <v>15056000</v>
      </c>
      <c r="L331" s="4">
        <v>2519000</v>
      </c>
      <c r="M331" s="1" t="s">
        <v>20</v>
      </c>
    </row>
    <row r="332" spans="1:13">
      <c r="A332" s="1" t="s">
        <v>546</v>
      </c>
      <c r="B332" s="3">
        <v>45989</v>
      </c>
      <c r="C332" s="1" t="s">
        <v>330</v>
      </c>
      <c r="D332" s="1" t="s">
        <v>23</v>
      </c>
      <c r="E332" s="1" t="s">
        <v>54</v>
      </c>
      <c r="F332" s="1" t="s">
        <v>17</v>
      </c>
      <c r="G332" s="1" t="s">
        <v>24</v>
      </c>
      <c r="H332" s="1" t="s">
        <v>31</v>
      </c>
      <c r="I332" s="1">
        <v>1</v>
      </c>
      <c r="J332" s="4">
        <v>22153000</v>
      </c>
      <c r="K332" s="4">
        <v>22689000</v>
      </c>
      <c r="L332" s="4">
        <v>-536000</v>
      </c>
      <c r="M332" s="1" t="s">
        <v>20</v>
      </c>
    </row>
    <row r="333" spans="1:13">
      <c r="A333" s="1" t="s">
        <v>547</v>
      </c>
      <c r="B333" s="3">
        <v>45980</v>
      </c>
      <c r="C333" s="1" t="s">
        <v>309</v>
      </c>
      <c r="D333" s="1" t="s">
        <v>23</v>
      </c>
      <c r="E333" s="1" t="s">
        <v>64</v>
      </c>
      <c r="F333" s="1" t="s">
        <v>29</v>
      </c>
      <c r="G333" s="1" t="s">
        <v>49</v>
      </c>
      <c r="H333" s="1" t="s">
        <v>110</v>
      </c>
      <c r="I333" s="1">
        <v>1</v>
      </c>
      <c r="J333" s="4">
        <v>17855000</v>
      </c>
      <c r="K333" s="4">
        <v>18690000</v>
      </c>
      <c r="L333" s="4">
        <v>-835000</v>
      </c>
      <c r="M333" s="1" t="s">
        <v>20</v>
      </c>
    </row>
    <row r="334" spans="1:13">
      <c r="A334" s="1" t="s">
        <v>548</v>
      </c>
      <c r="B334" s="3">
        <v>45947</v>
      </c>
      <c r="C334" s="1" t="s">
        <v>522</v>
      </c>
      <c r="D334" s="1" t="s">
        <v>23</v>
      </c>
      <c r="E334" s="1" t="s">
        <v>28</v>
      </c>
      <c r="F334" s="1" t="s">
        <v>29</v>
      </c>
      <c r="G334" s="1" t="s">
        <v>41</v>
      </c>
      <c r="H334" s="1" t="s">
        <v>34</v>
      </c>
      <c r="I334" s="1">
        <v>1</v>
      </c>
      <c r="J334" s="4">
        <v>51036000</v>
      </c>
      <c r="K334" s="4">
        <v>42278000</v>
      </c>
      <c r="L334" s="4">
        <v>8758000</v>
      </c>
      <c r="M334" s="1" t="s">
        <v>20</v>
      </c>
    </row>
    <row r="335" spans="1:13">
      <c r="A335" s="1" t="s">
        <v>549</v>
      </c>
      <c r="B335" s="3">
        <v>45899</v>
      </c>
      <c r="C335" s="1" t="s">
        <v>494</v>
      </c>
      <c r="D335" s="1" t="s">
        <v>15</v>
      </c>
      <c r="E335" s="1" t="s">
        <v>57</v>
      </c>
      <c r="F335" s="1" t="s">
        <v>29</v>
      </c>
      <c r="G335" s="1" t="s">
        <v>24</v>
      </c>
      <c r="H335" s="1" t="s">
        <v>37</v>
      </c>
      <c r="I335" s="1">
        <v>3</v>
      </c>
      <c r="J335" s="4">
        <v>137594000</v>
      </c>
      <c r="K335" s="4">
        <v>102241000</v>
      </c>
      <c r="L335" s="4">
        <v>35353000</v>
      </c>
      <c r="M335" s="1" t="s">
        <v>20</v>
      </c>
    </row>
    <row r="336" spans="1:13">
      <c r="A336" s="1" t="s">
        <v>550</v>
      </c>
      <c r="B336" s="3">
        <v>45686</v>
      </c>
      <c r="C336" s="1" t="s">
        <v>227</v>
      </c>
      <c r="D336" s="1" t="s">
        <v>15</v>
      </c>
      <c r="E336" s="1" t="s">
        <v>40</v>
      </c>
      <c r="F336" s="1" t="s">
        <v>29</v>
      </c>
      <c r="G336" s="1" t="s">
        <v>30</v>
      </c>
      <c r="H336" s="1" t="s">
        <v>31</v>
      </c>
      <c r="I336" s="1">
        <v>1</v>
      </c>
      <c r="J336" s="4">
        <v>25626000</v>
      </c>
      <c r="K336" s="4">
        <v>19579000</v>
      </c>
      <c r="L336" s="4">
        <v>6047000</v>
      </c>
      <c r="M336" s="1" t="s">
        <v>20</v>
      </c>
    </row>
    <row r="337" spans="1:13">
      <c r="A337" s="1" t="s">
        <v>551</v>
      </c>
      <c r="B337" s="3">
        <v>45779</v>
      </c>
      <c r="C337" s="1" t="s">
        <v>338</v>
      </c>
      <c r="D337" s="1" t="s">
        <v>15</v>
      </c>
      <c r="E337" s="1" t="s">
        <v>57</v>
      </c>
      <c r="F337" s="1" t="s">
        <v>29</v>
      </c>
      <c r="G337" s="1" t="s">
        <v>24</v>
      </c>
      <c r="H337" s="1" t="s">
        <v>19</v>
      </c>
      <c r="I337" s="1">
        <v>1</v>
      </c>
      <c r="J337" s="4">
        <v>45529000</v>
      </c>
      <c r="K337" s="4">
        <v>33825000</v>
      </c>
      <c r="L337" s="4">
        <v>11704000</v>
      </c>
      <c r="M337" s="1" t="s">
        <v>20</v>
      </c>
    </row>
    <row r="338" spans="1:13">
      <c r="A338" s="1" t="s">
        <v>552</v>
      </c>
      <c r="B338" s="3">
        <v>45730</v>
      </c>
      <c r="C338" s="1" t="s">
        <v>66</v>
      </c>
      <c r="D338" s="1" t="s">
        <v>23</v>
      </c>
      <c r="E338" s="1" t="s">
        <v>57</v>
      </c>
      <c r="F338" s="1" t="s">
        <v>29</v>
      </c>
      <c r="G338" s="1" t="s">
        <v>18</v>
      </c>
      <c r="H338" s="1" t="s">
        <v>34</v>
      </c>
      <c r="I338" s="1">
        <v>3</v>
      </c>
      <c r="J338" s="4">
        <v>136045000</v>
      </c>
      <c r="K338" s="4">
        <v>106417000</v>
      </c>
      <c r="L338" s="4">
        <v>29628000</v>
      </c>
      <c r="M338" s="1" t="s">
        <v>20</v>
      </c>
    </row>
    <row r="339" spans="1:13">
      <c r="A339" s="1" t="s">
        <v>553</v>
      </c>
      <c r="B339" s="3">
        <v>45686</v>
      </c>
      <c r="C339" s="1" t="s">
        <v>203</v>
      </c>
      <c r="D339" s="1" t="s">
        <v>23</v>
      </c>
      <c r="E339" s="1" t="s">
        <v>54</v>
      </c>
      <c r="F339" s="1" t="s">
        <v>17</v>
      </c>
      <c r="G339" s="1" t="s">
        <v>41</v>
      </c>
      <c r="H339" s="1" t="s">
        <v>37</v>
      </c>
      <c r="I339" s="1">
        <v>1</v>
      </c>
      <c r="J339" s="4">
        <v>26793000</v>
      </c>
      <c r="K339" s="4">
        <v>24170000</v>
      </c>
      <c r="L339" s="4">
        <v>2623000</v>
      </c>
      <c r="M339" s="1" t="s">
        <v>20</v>
      </c>
    </row>
    <row r="340" spans="1:13">
      <c r="A340" s="1" t="s">
        <v>554</v>
      </c>
      <c r="B340" s="3">
        <v>45748</v>
      </c>
      <c r="C340" s="1" t="s">
        <v>46</v>
      </c>
      <c r="D340" s="1" t="s">
        <v>15</v>
      </c>
      <c r="E340" s="1" t="s">
        <v>64</v>
      </c>
      <c r="F340" s="1" t="s">
        <v>29</v>
      </c>
      <c r="G340" s="1" t="s">
        <v>18</v>
      </c>
      <c r="H340" s="1" t="s">
        <v>19</v>
      </c>
      <c r="I340" s="1">
        <v>1</v>
      </c>
      <c r="J340" s="4">
        <v>20743000</v>
      </c>
      <c r="K340" s="4">
        <v>18458000</v>
      </c>
      <c r="L340" s="4">
        <v>2285000</v>
      </c>
      <c r="M340" s="1" t="s">
        <v>20</v>
      </c>
    </row>
    <row r="341" spans="1:13">
      <c r="A341" s="1" t="s">
        <v>555</v>
      </c>
      <c r="B341" s="3">
        <v>45844</v>
      </c>
      <c r="C341" s="1" t="s">
        <v>392</v>
      </c>
      <c r="D341" s="1" t="s">
        <v>23</v>
      </c>
      <c r="E341" s="1" t="s">
        <v>64</v>
      </c>
      <c r="F341" s="1" t="s">
        <v>29</v>
      </c>
      <c r="G341" s="1" t="s">
        <v>30</v>
      </c>
      <c r="H341" s="1" t="s">
        <v>37</v>
      </c>
      <c r="I341" s="1">
        <v>2</v>
      </c>
      <c r="J341" s="4">
        <v>43623000</v>
      </c>
      <c r="K341" s="4">
        <v>35140000</v>
      </c>
      <c r="L341" s="4">
        <v>8483000</v>
      </c>
      <c r="M341" s="1" t="s">
        <v>20</v>
      </c>
    </row>
    <row r="342" spans="1:13">
      <c r="A342" s="1" t="s">
        <v>556</v>
      </c>
      <c r="B342" s="3">
        <v>45881</v>
      </c>
      <c r="C342" s="1" t="s">
        <v>557</v>
      </c>
      <c r="D342" s="1" t="s">
        <v>15</v>
      </c>
      <c r="E342" s="1" t="s">
        <v>40</v>
      </c>
      <c r="F342" s="1" t="s">
        <v>29</v>
      </c>
      <c r="G342" s="1" t="s">
        <v>24</v>
      </c>
      <c r="H342" s="1" t="s">
        <v>110</v>
      </c>
      <c r="I342" s="1">
        <v>1</v>
      </c>
      <c r="J342" s="4">
        <v>23104000</v>
      </c>
      <c r="K342" s="4">
        <v>20728000</v>
      </c>
      <c r="L342" s="4">
        <v>2376000</v>
      </c>
      <c r="M342" s="1" t="s">
        <v>20</v>
      </c>
    </row>
    <row r="343" spans="1:13">
      <c r="A343" s="1" t="s">
        <v>558</v>
      </c>
      <c r="B343" s="3">
        <v>45772</v>
      </c>
      <c r="C343" s="1" t="s">
        <v>559</v>
      </c>
      <c r="D343" s="1" t="s">
        <v>15</v>
      </c>
      <c r="E343" s="1" t="s">
        <v>60</v>
      </c>
      <c r="F343" s="1" t="s">
        <v>61</v>
      </c>
      <c r="G343" s="1" t="s">
        <v>24</v>
      </c>
      <c r="H343" s="1" t="s">
        <v>25</v>
      </c>
      <c r="I343" s="1">
        <v>1</v>
      </c>
      <c r="J343" s="4">
        <v>63161000</v>
      </c>
      <c r="K343" s="4">
        <v>49462000</v>
      </c>
      <c r="L343" s="4">
        <v>13699000</v>
      </c>
      <c r="M343" s="1" t="s">
        <v>20</v>
      </c>
    </row>
    <row r="344" spans="1:13">
      <c r="A344" s="1" t="s">
        <v>560</v>
      </c>
      <c r="B344" s="3">
        <v>45948</v>
      </c>
      <c r="C344" s="1" t="s">
        <v>427</v>
      </c>
      <c r="D344" s="1" t="s">
        <v>23</v>
      </c>
      <c r="E344" s="1" t="s">
        <v>16</v>
      </c>
      <c r="F344" s="1" t="s">
        <v>17</v>
      </c>
      <c r="G344" s="1" t="s">
        <v>49</v>
      </c>
      <c r="H344" s="1" t="s">
        <v>31</v>
      </c>
      <c r="I344" s="1">
        <v>2</v>
      </c>
      <c r="J344" s="4">
        <v>38368000</v>
      </c>
      <c r="K344" s="4">
        <v>28191000</v>
      </c>
      <c r="L344" s="4">
        <v>10177000</v>
      </c>
      <c r="M344" s="1" t="s">
        <v>20</v>
      </c>
    </row>
    <row r="345" spans="1:13">
      <c r="A345" s="1" t="s">
        <v>561</v>
      </c>
      <c r="B345" s="3">
        <v>45827</v>
      </c>
      <c r="C345" s="1" t="s">
        <v>562</v>
      </c>
      <c r="D345" s="1" t="s">
        <v>23</v>
      </c>
      <c r="E345" s="1" t="s">
        <v>40</v>
      </c>
      <c r="F345" s="1" t="s">
        <v>29</v>
      </c>
      <c r="G345" s="1" t="s">
        <v>41</v>
      </c>
      <c r="H345" s="1" t="s">
        <v>25</v>
      </c>
      <c r="I345" s="1">
        <v>3</v>
      </c>
      <c r="J345" s="4">
        <v>49861000</v>
      </c>
      <c r="K345" s="4">
        <v>61689000</v>
      </c>
      <c r="L345" s="4">
        <v>-11828000</v>
      </c>
      <c r="M345" s="1" t="s">
        <v>20</v>
      </c>
    </row>
    <row r="346" spans="1:13">
      <c r="A346" s="1" t="s">
        <v>563</v>
      </c>
      <c r="B346" s="3">
        <v>45663</v>
      </c>
      <c r="C346" s="1" t="s">
        <v>527</v>
      </c>
      <c r="D346" s="1" t="s">
        <v>23</v>
      </c>
      <c r="E346" s="1" t="s">
        <v>54</v>
      </c>
      <c r="F346" s="1" t="s">
        <v>17</v>
      </c>
      <c r="G346" s="1" t="s">
        <v>49</v>
      </c>
      <c r="H346" s="1" t="s">
        <v>37</v>
      </c>
      <c r="I346" s="1">
        <v>1</v>
      </c>
      <c r="J346" s="4">
        <v>27741000</v>
      </c>
      <c r="K346" s="4">
        <v>22291000</v>
      </c>
      <c r="L346" s="4">
        <v>5450000</v>
      </c>
      <c r="M346" s="1" t="s">
        <v>20</v>
      </c>
    </row>
    <row r="347" spans="1:13">
      <c r="A347" s="1" t="s">
        <v>564</v>
      </c>
      <c r="B347" s="3">
        <v>45872</v>
      </c>
      <c r="C347" s="1" t="s">
        <v>181</v>
      </c>
      <c r="D347" s="1" t="s">
        <v>15</v>
      </c>
      <c r="E347" s="1" t="s">
        <v>64</v>
      </c>
      <c r="F347" s="1" t="s">
        <v>29</v>
      </c>
      <c r="G347" s="1" t="s">
        <v>24</v>
      </c>
      <c r="H347" s="1" t="s">
        <v>37</v>
      </c>
      <c r="I347" s="1">
        <v>1</v>
      </c>
      <c r="J347" s="4">
        <v>21763000</v>
      </c>
      <c r="K347" s="4">
        <v>18384000</v>
      </c>
      <c r="L347" s="4">
        <v>3379000</v>
      </c>
      <c r="M347" s="1" t="s">
        <v>20</v>
      </c>
    </row>
    <row r="348" spans="1:13">
      <c r="A348" s="1" t="s">
        <v>565</v>
      </c>
      <c r="B348" s="3">
        <v>46009</v>
      </c>
      <c r="C348" s="1" t="s">
        <v>566</v>
      </c>
      <c r="D348" s="1" t="s">
        <v>23</v>
      </c>
      <c r="E348" s="1" t="s">
        <v>54</v>
      </c>
      <c r="F348" s="1" t="s">
        <v>17</v>
      </c>
      <c r="G348" s="1" t="s">
        <v>18</v>
      </c>
      <c r="H348" s="1" t="s">
        <v>110</v>
      </c>
      <c r="I348" s="1">
        <v>1</v>
      </c>
      <c r="J348" s="4">
        <v>26914000</v>
      </c>
      <c r="K348" s="4">
        <v>22087000</v>
      </c>
      <c r="L348" s="4">
        <v>4827000</v>
      </c>
      <c r="M348" s="1" t="s">
        <v>20</v>
      </c>
    </row>
    <row r="349" spans="1:13">
      <c r="A349" s="1" t="s">
        <v>567</v>
      </c>
      <c r="B349" s="3">
        <v>45745</v>
      </c>
      <c r="C349" s="1" t="s">
        <v>318</v>
      </c>
      <c r="D349" s="1" t="s">
        <v>23</v>
      </c>
      <c r="E349" s="1" t="s">
        <v>64</v>
      </c>
      <c r="F349" s="1" t="s">
        <v>29</v>
      </c>
      <c r="G349" s="1" t="s">
        <v>49</v>
      </c>
      <c r="H349" s="1" t="s">
        <v>37</v>
      </c>
      <c r="I349" s="1">
        <v>1</v>
      </c>
      <c r="J349" s="4">
        <v>23374000</v>
      </c>
      <c r="K349" s="4">
        <v>19175000</v>
      </c>
      <c r="L349" s="4">
        <v>4199000</v>
      </c>
      <c r="M349" s="1" t="s">
        <v>20</v>
      </c>
    </row>
    <row r="350" spans="1:13">
      <c r="A350" s="1" t="s">
        <v>568</v>
      </c>
      <c r="B350" s="3">
        <v>45673</v>
      </c>
      <c r="C350" s="1" t="s">
        <v>362</v>
      </c>
      <c r="D350" s="1" t="s">
        <v>15</v>
      </c>
      <c r="E350" s="1" t="s">
        <v>44</v>
      </c>
      <c r="F350" s="1" t="s">
        <v>17</v>
      </c>
      <c r="G350" s="1" t="s">
        <v>30</v>
      </c>
      <c r="H350" s="1" t="s">
        <v>25</v>
      </c>
      <c r="I350" s="1">
        <v>1</v>
      </c>
      <c r="J350" s="4">
        <v>26406000</v>
      </c>
      <c r="K350" s="4">
        <v>20827000</v>
      </c>
      <c r="L350" s="4">
        <v>5579000</v>
      </c>
      <c r="M350" s="1" t="s">
        <v>20</v>
      </c>
    </row>
    <row r="351" spans="1:13">
      <c r="A351" s="1" t="s">
        <v>569</v>
      </c>
      <c r="B351" s="3">
        <v>46014</v>
      </c>
      <c r="C351" s="1" t="s">
        <v>518</v>
      </c>
      <c r="D351" s="1" t="s">
        <v>15</v>
      </c>
      <c r="E351" s="1" t="s">
        <v>57</v>
      </c>
      <c r="F351" s="1" t="s">
        <v>29</v>
      </c>
      <c r="G351" s="1" t="s">
        <v>24</v>
      </c>
      <c r="H351" s="1" t="s">
        <v>19</v>
      </c>
      <c r="I351" s="1">
        <v>1</v>
      </c>
      <c r="J351" s="4">
        <v>44113000</v>
      </c>
      <c r="K351" s="4">
        <v>34781000</v>
      </c>
      <c r="L351" s="4">
        <v>9332000</v>
      </c>
      <c r="M351" s="1" t="s">
        <v>20</v>
      </c>
    </row>
    <row r="352" spans="1:13">
      <c r="A352" s="1" t="s">
        <v>570</v>
      </c>
      <c r="B352" s="3">
        <v>45909</v>
      </c>
      <c r="C352" s="1" t="s">
        <v>330</v>
      </c>
      <c r="D352" s="1" t="s">
        <v>23</v>
      </c>
      <c r="E352" s="1" t="s">
        <v>16</v>
      </c>
      <c r="F352" s="1" t="s">
        <v>17</v>
      </c>
      <c r="G352" s="1" t="s">
        <v>18</v>
      </c>
      <c r="H352" s="1" t="s">
        <v>34</v>
      </c>
      <c r="I352" s="1">
        <v>1</v>
      </c>
      <c r="J352" s="4">
        <v>17609000</v>
      </c>
      <c r="K352" s="4">
        <v>14735000</v>
      </c>
      <c r="L352" s="4">
        <v>2874000</v>
      </c>
      <c r="M352" s="1" t="s">
        <v>20</v>
      </c>
    </row>
    <row r="353" spans="1:13">
      <c r="A353" s="1" t="s">
        <v>571</v>
      </c>
      <c r="B353" s="3">
        <v>45763</v>
      </c>
      <c r="C353" s="1" t="s">
        <v>66</v>
      </c>
      <c r="D353" s="1" t="s">
        <v>23</v>
      </c>
      <c r="E353" s="1" t="s">
        <v>16</v>
      </c>
      <c r="F353" s="1" t="s">
        <v>17</v>
      </c>
      <c r="G353" s="1" t="s">
        <v>41</v>
      </c>
      <c r="H353" s="1" t="s">
        <v>34</v>
      </c>
      <c r="I353" s="1">
        <v>1</v>
      </c>
      <c r="J353" s="4">
        <v>18894000</v>
      </c>
      <c r="K353" s="4">
        <v>14222000</v>
      </c>
      <c r="L353" s="4">
        <v>4672000</v>
      </c>
      <c r="M353" s="1" t="s">
        <v>20</v>
      </c>
    </row>
    <row r="354" spans="1:13">
      <c r="A354" s="1" t="s">
        <v>572</v>
      </c>
      <c r="B354" s="3">
        <v>45986</v>
      </c>
      <c r="C354" s="1" t="s">
        <v>79</v>
      </c>
      <c r="D354" s="1" t="s">
        <v>23</v>
      </c>
      <c r="E354" s="1" t="s">
        <v>57</v>
      </c>
      <c r="F354" s="1" t="s">
        <v>29</v>
      </c>
      <c r="G354" s="1" t="s">
        <v>41</v>
      </c>
      <c r="H354" s="1" t="s">
        <v>31</v>
      </c>
      <c r="I354" s="1">
        <v>2</v>
      </c>
      <c r="J354" s="4">
        <v>69675000</v>
      </c>
      <c r="K354" s="4">
        <v>70615000</v>
      </c>
      <c r="L354" s="4">
        <v>-940000</v>
      </c>
      <c r="M354" s="1" t="s">
        <v>20</v>
      </c>
    </row>
    <row r="355" spans="1:13">
      <c r="A355" s="1" t="s">
        <v>573</v>
      </c>
      <c r="B355" s="3">
        <v>45795</v>
      </c>
      <c r="C355" s="1" t="s">
        <v>349</v>
      </c>
      <c r="D355" s="1" t="s">
        <v>23</v>
      </c>
      <c r="E355" s="1" t="s">
        <v>57</v>
      </c>
      <c r="F355" s="1" t="s">
        <v>29</v>
      </c>
      <c r="G355" s="1" t="s">
        <v>24</v>
      </c>
      <c r="H355" s="1" t="s">
        <v>31</v>
      </c>
      <c r="I355" s="1">
        <v>1</v>
      </c>
      <c r="J355" s="4">
        <v>40961000</v>
      </c>
      <c r="K355" s="4">
        <v>36097000</v>
      </c>
      <c r="L355" s="4">
        <v>4864000</v>
      </c>
      <c r="M355" s="1" t="s">
        <v>20</v>
      </c>
    </row>
    <row r="356" spans="1:13">
      <c r="A356" s="1" t="s">
        <v>574</v>
      </c>
      <c r="B356" s="3">
        <v>45941</v>
      </c>
      <c r="C356" s="1" t="s">
        <v>77</v>
      </c>
      <c r="D356" s="1" t="s">
        <v>23</v>
      </c>
      <c r="E356" s="1" t="s">
        <v>16</v>
      </c>
      <c r="F356" s="1" t="s">
        <v>17</v>
      </c>
      <c r="G356" s="1" t="s">
        <v>30</v>
      </c>
      <c r="H356" s="1" t="s">
        <v>25</v>
      </c>
      <c r="I356" s="1">
        <v>1</v>
      </c>
      <c r="J356" s="4">
        <v>19180000</v>
      </c>
      <c r="K356" s="4">
        <v>14771000</v>
      </c>
      <c r="L356" s="4">
        <v>4409000</v>
      </c>
      <c r="M356" s="1" t="s">
        <v>20</v>
      </c>
    </row>
    <row r="357" spans="1:13">
      <c r="A357" s="1" t="s">
        <v>575</v>
      </c>
      <c r="B357" s="3">
        <v>45811</v>
      </c>
      <c r="C357" s="1" t="s">
        <v>127</v>
      </c>
      <c r="D357" s="1" t="s">
        <v>15</v>
      </c>
      <c r="E357" s="1" t="s">
        <v>16</v>
      </c>
      <c r="F357" s="1" t="s">
        <v>17</v>
      </c>
      <c r="G357" s="1" t="s">
        <v>24</v>
      </c>
      <c r="H357" s="1" t="s">
        <v>31</v>
      </c>
      <c r="I357" s="1">
        <v>1</v>
      </c>
      <c r="J357" s="4">
        <v>13028000</v>
      </c>
      <c r="K357" s="4">
        <v>15081000</v>
      </c>
      <c r="L357" s="4">
        <v>-2053000</v>
      </c>
      <c r="M357" s="1" t="s">
        <v>20</v>
      </c>
    </row>
    <row r="358" spans="1:13">
      <c r="A358" s="1" t="s">
        <v>576</v>
      </c>
      <c r="B358" s="3">
        <v>45719</v>
      </c>
      <c r="C358" s="1" t="s">
        <v>577</v>
      </c>
      <c r="D358" s="1" t="s">
        <v>23</v>
      </c>
      <c r="E358" s="1" t="s">
        <v>64</v>
      </c>
      <c r="F358" s="1" t="s">
        <v>29</v>
      </c>
      <c r="G358" s="1" t="s">
        <v>49</v>
      </c>
      <c r="H358" s="1" t="s">
        <v>34</v>
      </c>
      <c r="I358" s="1">
        <v>2</v>
      </c>
      <c r="J358" s="4">
        <v>42316000</v>
      </c>
      <c r="K358" s="4">
        <v>35546000</v>
      </c>
      <c r="L358" s="4">
        <v>6770000</v>
      </c>
      <c r="M358" s="1" t="s">
        <v>20</v>
      </c>
    </row>
    <row r="359" spans="1:13">
      <c r="A359" s="1" t="s">
        <v>578</v>
      </c>
      <c r="B359" s="3">
        <v>46007</v>
      </c>
      <c r="C359" s="1" t="s">
        <v>579</v>
      </c>
      <c r="D359" s="1" t="s">
        <v>15</v>
      </c>
      <c r="E359" s="1" t="s">
        <v>44</v>
      </c>
      <c r="F359" s="1" t="s">
        <v>17</v>
      </c>
      <c r="G359" s="1" t="s">
        <v>18</v>
      </c>
      <c r="H359" s="1" t="s">
        <v>34</v>
      </c>
      <c r="I359" s="1">
        <v>1</v>
      </c>
      <c r="J359" s="4">
        <v>27784000</v>
      </c>
      <c r="K359" s="4">
        <v>21272000</v>
      </c>
      <c r="L359" s="4">
        <v>6512000</v>
      </c>
      <c r="M359" s="1" t="s">
        <v>20</v>
      </c>
    </row>
    <row r="360" spans="1:13">
      <c r="A360" s="1" t="s">
        <v>580</v>
      </c>
      <c r="B360" s="3">
        <v>45856</v>
      </c>
      <c r="C360" s="1" t="s">
        <v>22</v>
      </c>
      <c r="D360" s="1" t="s">
        <v>15</v>
      </c>
      <c r="E360" s="1" t="s">
        <v>57</v>
      </c>
      <c r="F360" s="1" t="s">
        <v>29</v>
      </c>
      <c r="G360" s="1" t="s">
        <v>24</v>
      </c>
      <c r="H360" s="1" t="s">
        <v>19</v>
      </c>
      <c r="I360" s="1">
        <v>2</v>
      </c>
      <c r="J360" s="4">
        <v>86650000</v>
      </c>
      <c r="K360" s="4">
        <v>73962000</v>
      </c>
      <c r="L360" s="4">
        <v>12688000</v>
      </c>
      <c r="M360" s="1" t="s">
        <v>20</v>
      </c>
    </row>
    <row r="361" spans="1:13">
      <c r="A361" s="1" t="s">
        <v>581</v>
      </c>
      <c r="B361" s="3">
        <v>45925</v>
      </c>
      <c r="C361" s="1" t="s">
        <v>97</v>
      </c>
      <c r="D361" s="1" t="s">
        <v>23</v>
      </c>
      <c r="E361" s="1" t="s">
        <v>40</v>
      </c>
      <c r="F361" s="1" t="s">
        <v>29</v>
      </c>
      <c r="G361" s="1" t="s">
        <v>18</v>
      </c>
      <c r="H361" s="1" t="s">
        <v>19</v>
      </c>
      <c r="I361" s="1">
        <v>1</v>
      </c>
      <c r="J361" s="4">
        <v>24328000</v>
      </c>
      <c r="K361" s="4">
        <v>19964000</v>
      </c>
      <c r="L361" s="4">
        <v>4364000</v>
      </c>
      <c r="M361" s="1" t="s">
        <v>69</v>
      </c>
    </row>
    <row r="362" spans="1:13">
      <c r="A362" s="1" t="s">
        <v>582</v>
      </c>
      <c r="B362" s="3">
        <v>45709</v>
      </c>
      <c r="C362" s="1" t="s">
        <v>77</v>
      </c>
      <c r="D362" s="1" t="s">
        <v>15</v>
      </c>
      <c r="E362" s="1" t="s">
        <v>40</v>
      </c>
      <c r="F362" s="1" t="s">
        <v>29</v>
      </c>
      <c r="G362" s="1" t="s">
        <v>24</v>
      </c>
      <c r="H362" s="1" t="s">
        <v>25</v>
      </c>
      <c r="I362" s="1">
        <v>2</v>
      </c>
      <c r="J362" s="4">
        <v>50598000</v>
      </c>
      <c r="K362" s="4">
        <v>38666000</v>
      </c>
      <c r="L362" s="4">
        <v>11932000</v>
      </c>
      <c r="M362" s="1" t="s">
        <v>20</v>
      </c>
    </row>
    <row r="363" spans="1:13">
      <c r="A363" s="1" t="s">
        <v>583</v>
      </c>
      <c r="B363" s="3">
        <v>45677</v>
      </c>
      <c r="C363" s="1" t="s">
        <v>389</v>
      </c>
      <c r="D363" s="1" t="s">
        <v>23</v>
      </c>
      <c r="E363" s="1" t="s">
        <v>16</v>
      </c>
      <c r="F363" s="1" t="s">
        <v>17</v>
      </c>
      <c r="G363" s="1" t="s">
        <v>41</v>
      </c>
      <c r="H363" s="1" t="s">
        <v>37</v>
      </c>
      <c r="I363" s="1">
        <v>1</v>
      </c>
      <c r="J363" s="4">
        <v>18513000</v>
      </c>
      <c r="K363" s="4">
        <v>14357000</v>
      </c>
      <c r="L363" s="4">
        <v>4156000</v>
      </c>
      <c r="M363" s="1" t="s">
        <v>20</v>
      </c>
    </row>
    <row r="364" spans="1:13">
      <c r="A364" s="1" t="s">
        <v>584</v>
      </c>
      <c r="B364" s="3">
        <v>45779</v>
      </c>
      <c r="C364" s="1" t="s">
        <v>295</v>
      </c>
      <c r="D364" s="1" t="s">
        <v>23</v>
      </c>
      <c r="E364" s="1" t="s">
        <v>16</v>
      </c>
      <c r="F364" s="1" t="s">
        <v>17</v>
      </c>
      <c r="G364" s="1" t="s">
        <v>41</v>
      </c>
      <c r="H364" s="1" t="s">
        <v>25</v>
      </c>
      <c r="I364" s="1">
        <v>1</v>
      </c>
      <c r="J364" s="4">
        <v>17792000</v>
      </c>
      <c r="K364" s="4">
        <v>14265000</v>
      </c>
      <c r="L364" s="4">
        <v>3527000</v>
      </c>
      <c r="M364" s="1" t="s">
        <v>20</v>
      </c>
    </row>
    <row r="365" spans="1:13">
      <c r="A365" s="1" t="s">
        <v>585</v>
      </c>
      <c r="B365" s="3">
        <v>46014</v>
      </c>
      <c r="C365" s="1" t="s">
        <v>198</v>
      </c>
      <c r="D365" s="1" t="s">
        <v>15</v>
      </c>
      <c r="E365" s="1" t="s">
        <v>60</v>
      </c>
      <c r="F365" s="1" t="s">
        <v>61</v>
      </c>
      <c r="G365" s="1" t="s">
        <v>41</v>
      </c>
      <c r="H365" s="1" t="s">
        <v>37</v>
      </c>
      <c r="I365" s="1">
        <v>1</v>
      </c>
      <c r="J365" s="4">
        <v>59723000</v>
      </c>
      <c r="K365" s="4">
        <v>51731000</v>
      </c>
      <c r="L365" s="4">
        <v>7992000</v>
      </c>
      <c r="M365" s="1" t="s">
        <v>20</v>
      </c>
    </row>
    <row r="366" spans="1:13">
      <c r="A366" s="1" t="s">
        <v>586</v>
      </c>
      <c r="B366" s="3">
        <v>45871</v>
      </c>
      <c r="C366" s="1" t="s">
        <v>587</v>
      </c>
      <c r="D366" s="1" t="s">
        <v>23</v>
      </c>
      <c r="E366" s="1" t="s">
        <v>57</v>
      </c>
      <c r="F366" s="1" t="s">
        <v>29</v>
      </c>
      <c r="G366" s="1" t="s">
        <v>41</v>
      </c>
      <c r="H366" s="1" t="s">
        <v>34</v>
      </c>
      <c r="I366" s="1">
        <v>1</v>
      </c>
      <c r="J366" s="4">
        <v>45526000</v>
      </c>
      <c r="K366" s="4">
        <v>35170000</v>
      </c>
      <c r="L366" s="4">
        <v>10356000</v>
      </c>
      <c r="M366" s="1" t="s">
        <v>20</v>
      </c>
    </row>
    <row r="367" spans="1:13">
      <c r="A367" s="1" t="s">
        <v>588</v>
      </c>
      <c r="B367" s="3">
        <v>45921</v>
      </c>
      <c r="C367" s="1" t="s">
        <v>278</v>
      </c>
      <c r="D367" s="1" t="s">
        <v>23</v>
      </c>
      <c r="E367" s="1" t="s">
        <v>40</v>
      </c>
      <c r="F367" s="1" t="s">
        <v>29</v>
      </c>
      <c r="G367" s="1" t="s">
        <v>18</v>
      </c>
      <c r="H367" s="1" t="s">
        <v>31</v>
      </c>
      <c r="I367" s="1">
        <v>1</v>
      </c>
      <c r="J367" s="4">
        <v>23819000</v>
      </c>
      <c r="K367" s="4">
        <v>20355000</v>
      </c>
      <c r="L367" s="4">
        <v>3464000</v>
      </c>
      <c r="M367" s="1" t="s">
        <v>20</v>
      </c>
    </row>
    <row r="368" spans="1:13">
      <c r="A368" s="1" t="s">
        <v>589</v>
      </c>
      <c r="B368" s="3">
        <v>45756</v>
      </c>
      <c r="C368" s="1" t="s">
        <v>132</v>
      </c>
      <c r="D368" s="1" t="s">
        <v>23</v>
      </c>
      <c r="E368" s="1" t="s">
        <v>64</v>
      </c>
      <c r="F368" s="1" t="s">
        <v>29</v>
      </c>
      <c r="G368" s="1" t="s">
        <v>41</v>
      </c>
      <c r="H368" s="1" t="s">
        <v>110</v>
      </c>
      <c r="I368" s="1">
        <v>1</v>
      </c>
      <c r="J368" s="4">
        <v>20775000</v>
      </c>
      <c r="K368" s="4">
        <v>17478000</v>
      </c>
      <c r="L368" s="4">
        <v>3297000</v>
      </c>
      <c r="M368" s="1" t="s">
        <v>20</v>
      </c>
    </row>
    <row r="369" spans="1:13">
      <c r="A369" s="1" t="s">
        <v>590</v>
      </c>
      <c r="B369" s="3">
        <v>45895</v>
      </c>
      <c r="C369" s="1" t="s">
        <v>177</v>
      </c>
      <c r="D369" s="1" t="s">
        <v>15</v>
      </c>
      <c r="E369" s="1" t="s">
        <v>28</v>
      </c>
      <c r="F369" s="1" t="s">
        <v>29</v>
      </c>
      <c r="G369" s="1" t="s">
        <v>49</v>
      </c>
      <c r="H369" s="1" t="s">
        <v>19</v>
      </c>
      <c r="I369" s="1">
        <v>1</v>
      </c>
      <c r="J369" s="4">
        <v>49087000</v>
      </c>
      <c r="K369" s="4">
        <v>42945000</v>
      </c>
      <c r="L369" s="4">
        <v>6142000</v>
      </c>
      <c r="M369" s="1" t="s">
        <v>20</v>
      </c>
    </row>
    <row r="370" spans="1:13">
      <c r="A370" s="1" t="s">
        <v>591</v>
      </c>
      <c r="B370" s="3">
        <v>45940</v>
      </c>
      <c r="C370" s="1" t="s">
        <v>527</v>
      </c>
      <c r="D370" s="1" t="s">
        <v>23</v>
      </c>
      <c r="E370" s="1" t="s">
        <v>44</v>
      </c>
      <c r="F370" s="1" t="s">
        <v>17</v>
      </c>
      <c r="G370" s="1" t="s">
        <v>18</v>
      </c>
      <c r="H370" s="1" t="s">
        <v>31</v>
      </c>
      <c r="I370" s="1">
        <v>2</v>
      </c>
      <c r="J370" s="4">
        <v>54980000</v>
      </c>
      <c r="K370" s="4">
        <v>44423000</v>
      </c>
      <c r="L370" s="4">
        <v>10557000</v>
      </c>
      <c r="M370" s="1" t="s">
        <v>20</v>
      </c>
    </row>
    <row r="371" spans="1:13">
      <c r="A371" s="1" t="s">
        <v>592</v>
      </c>
      <c r="B371" s="3">
        <v>45950</v>
      </c>
      <c r="C371" s="1" t="s">
        <v>593</v>
      </c>
      <c r="D371" s="1" t="s">
        <v>23</v>
      </c>
      <c r="E371" s="1" t="s">
        <v>40</v>
      </c>
      <c r="F371" s="1" t="s">
        <v>29</v>
      </c>
      <c r="G371" s="1" t="s">
        <v>18</v>
      </c>
      <c r="H371" s="1" t="s">
        <v>37</v>
      </c>
      <c r="I371" s="1">
        <v>1</v>
      </c>
      <c r="J371" s="4">
        <v>23262000</v>
      </c>
      <c r="K371" s="4">
        <v>19219000</v>
      </c>
      <c r="L371" s="4">
        <v>4043000</v>
      </c>
      <c r="M371" s="1" t="s">
        <v>20</v>
      </c>
    </row>
    <row r="372" spans="1:13">
      <c r="A372" s="1" t="s">
        <v>594</v>
      </c>
      <c r="B372" s="3">
        <v>45662</v>
      </c>
      <c r="C372" s="1" t="s">
        <v>56</v>
      </c>
      <c r="D372" s="1" t="s">
        <v>23</v>
      </c>
      <c r="E372" s="1" t="s">
        <v>28</v>
      </c>
      <c r="F372" s="1" t="s">
        <v>29</v>
      </c>
      <c r="G372" s="1" t="s">
        <v>41</v>
      </c>
      <c r="H372" s="1" t="s">
        <v>37</v>
      </c>
      <c r="I372" s="1">
        <v>1</v>
      </c>
      <c r="J372" s="4">
        <v>54294000</v>
      </c>
      <c r="K372" s="4">
        <v>42298000</v>
      </c>
      <c r="L372" s="4">
        <v>11996000</v>
      </c>
      <c r="M372" s="1" t="s">
        <v>20</v>
      </c>
    </row>
    <row r="373" spans="1:13">
      <c r="A373" s="1" t="s">
        <v>595</v>
      </c>
      <c r="B373" s="3">
        <v>46021</v>
      </c>
      <c r="C373" s="1" t="s">
        <v>127</v>
      </c>
      <c r="D373" s="1" t="s">
        <v>23</v>
      </c>
      <c r="E373" s="1" t="s">
        <v>60</v>
      </c>
      <c r="F373" s="1" t="s">
        <v>61</v>
      </c>
      <c r="G373" s="1" t="s">
        <v>24</v>
      </c>
      <c r="H373" s="1" t="s">
        <v>19</v>
      </c>
      <c r="I373" s="1">
        <v>1</v>
      </c>
      <c r="J373" s="4">
        <v>60105000</v>
      </c>
      <c r="K373" s="4">
        <v>49248000</v>
      </c>
      <c r="L373" s="4">
        <v>10857000</v>
      </c>
      <c r="M373" s="1" t="s">
        <v>20</v>
      </c>
    </row>
    <row r="374" spans="1:13">
      <c r="A374" s="1" t="s">
        <v>596</v>
      </c>
      <c r="B374" s="3">
        <v>45861</v>
      </c>
      <c r="C374" s="1" t="s">
        <v>321</v>
      </c>
      <c r="D374" s="1" t="s">
        <v>23</v>
      </c>
      <c r="E374" s="1" t="s">
        <v>57</v>
      </c>
      <c r="F374" s="1" t="s">
        <v>29</v>
      </c>
      <c r="G374" s="1" t="s">
        <v>24</v>
      </c>
      <c r="H374" s="1" t="s">
        <v>110</v>
      </c>
      <c r="I374" s="1">
        <v>3</v>
      </c>
      <c r="J374" s="4">
        <v>137468000</v>
      </c>
      <c r="K374" s="4">
        <v>110114000</v>
      </c>
      <c r="L374" s="4">
        <v>27354000</v>
      </c>
      <c r="M374" s="1" t="s">
        <v>20</v>
      </c>
    </row>
    <row r="375" spans="1:13">
      <c r="A375" s="1" t="s">
        <v>597</v>
      </c>
      <c r="B375" s="3">
        <v>45810</v>
      </c>
      <c r="C375" s="1" t="s">
        <v>129</v>
      </c>
      <c r="D375" s="1" t="s">
        <v>23</v>
      </c>
      <c r="E375" s="1" t="s">
        <v>60</v>
      </c>
      <c r="F375" s="1" t="s">
        <v>61</v>
      </c>
      <c r="G375" s="1" t="s">
        <v>41</v>
      </c>
      <c r="H375" s="1" t="s">
        <v>31</v>
      </c>
      <c r="I375" s="1">
        <v>1</v>
      </c>
      <c r="J375" s="4">
        <v>42863000</v>
      </c>
      <c r="K375" s="4">
        <v>49617000</v>
      </c>
      <c r="L375" s="4">
        <v>-6754000</v>
      </c>
      <c r="M375" s="1" t="s">
        <v>20</v>
      </c>
    </row>
    <row r="376" spans="1:13">
      <c r="A376" s="1" t="s">
        <v>598</v>
      </c>
      <c r="B376" s="3">
        <v>45734</v>
      </c>
      <c r="C376" s="1" t="s">
        <v>420</v>
      </c>
      <c r="D376" s="1" t="s">
        <v>23</v>
      </c>
      <c r="E376" s="1" t="s">
        <v>28</v>
      </c>
      <c r="F376" s="1" t="s">
        <v>29</v>
      </c>
      <c r="G376" s="1" t="s">
        <v>30</v>
      </c>
      <c r="H376" s="1" t="s">
        <v>37</v>
      </c>
      <c r="I376" s="1">
        <v>1</v>
      </c>
      <c r="J376" s="4">
        <v>54675000</v>
      </c>
      <c r="K376" s="4">
        <v>44849000</v>
      </c>
      <c r="L376" s="4">
        <v>9826000</v>
      </c>
      <c r="M376" s="1" t="s">
        <v>20</v>
      </c>
    </row>
    <row r="377" spans="1:13">
      <c r="A377" s="1" t="s">
        <v>599</v>
      </c>
      <c r="B377" s="3">
        <v>45671</v>
      </c>
      <c r="C377" s="1" t="s">
        <v>562</v>
      </c>
      <c r="D377" s="1" t="s">
        <v>15</v>
      </c>
      <c r="E377" s="1" t="s">
        <v>60</v>
      </c>
      <c r="F377" s="1" t="s">
        <v>61</v>
      </c>
      <c r="G377" s="1" t="s">
        <v>24</v>
      </c>
      <c r="H377" s="1" t="s">
        <v>31</v>
      </c>
      <c r="I377" s="1">
        <v>1</v>
      </c>
      <c r="J377" s="4">
        <v>60659000</v>
      </c>
      <c r="K377" s="4">
        <v>49936000</v>
      </c>
      <c r="L377" s="4">
        <v>10723000</v>
      </c>
      <c r="M377" s="1" t="s">
        <v>20</v>
      </c>
    </row>
    <row r="378" spans="1:13">
      <c r="A378" s="1" t="s">
        <v>600</v>
      </c>
      <c r="B378" s="3">
        <v>45833</v>
      </c>
      <c r="C378" s="1" t="s">
        <v>63</v>
      </c>
      <c r="D378" s="1" t="s">
        <v>23</v>
      </c>
      <c r="E378" s="1" t="s">
        <v>40</v>
      </c>
      <c r="F378" s="1" t="s">
        <v>29</v>
      </c>
      <c r="G378" s="1" t="s">
        <v>41</v>
      </c>
      <c r="H378" s="1" t="s">
        <v>31</v>
      </c>
      <c r="I378" s="1">
        <v>1</v>
      </c>
      <c r="J378" s="4">
        <v>18006000</v>
      </c>
      <c r="K378" s="4">
        <v>20605000</v>
      </c>
      <c r="L378" s="4">
        <v>-2599000</v>
      </c>
      <c r="M378" s="1" t="s">
        <v>20</v>
      </c>
    </row>
    <row r="379" spans="1:13">
      <c r="A379" s="1" t="s">
        <v>601</v>
      </c>
      <c r="B379" s="3">
        <v>45994</v>
      </c>
      <c r="C379" s="1" t="s">
        <v>412</v>
      </c>
      <c r="D379" s="1" t="s">
        <v>23</v>
      </c>
      <c r="E379" s="1" t="s">
        <v>64</v>
      </c>
      <c r="F379" s="1" t="s">
        <v>29</v>
      </c>
      <c r="G379" s="1" t="s">
        <v>30</v>
      </c>
      <c r="H379" s="1" t="s">
        <v>37</v>
      </c>
      <c r="I379" s="1">
        <v>1</v>
      </c>
      <c r="J379" s="4">
        <v>21046000</v>
      </c>
      <c r="K379" s="4">
        <v>17858000</v>
      </c>
      <c r="L379" s="4">
        <v>3188000</v>
      </c>
      <c r="M379" s="1" t="s">
        <v>20</v>
      </c>
    </row>
    <row r="380" spans="1:13">
      <c r="A380" s="1" t="s">
        <v>602</v>
      </c>
      <c r="B380" s="3">
        <v>45829</v>
      </c>
      <c r="C380" s="1" t="s">
        <v>439</v>
      </c>
      <c r="D380" s="1" t="s">
        <v>23</v>
      </c>
      <c r="E380" s="1" t="s">
        <v>60</v>
      </c>
      <c r="F380" s="1" t="s">
        <v>61</v>
      </c>
      <c r="G380" s="1" t="s">
        <v>41</v>
      </c>
      <c r="H380" s="1" t="s">
        <v>19</v>
      </c>
      <c r="I380" s="1">
        <v>1</v>
      </c>
      <c r="J380" s="4">
        <v>46260000</v>
      </c>
      <c r="K380" s="4">
        <v>50098000</v>
      </c>
      <c r="L380" s="4">
        <v>-3838000</v>
      </c>
      <c r="M380" s="1" t="s">
        <v>20</v>
      </c>
    </row>
    <row r="381" spans="1:13">
      <c r="A381" s="1" t="s">
        <v>603</v>
      </c>
      <c r="B381" s="3">
        <v>45808</v>
      </c>
      <c r="C381" s="1" t="s">
        <v>153</v>
      </c>
      <c r="D381" s="1" t="s">
        <v>23</v>
      </c>
      <c r="E381" s="1" t="s">
        <v>28</v>
      </c>
      <c r="F381" s="1" t="s">
        <v>29</v>
      </c>
      <c r="G381" s="1" t="s">
        <v>30</v>
      </c>
      <c r="H381" s="1" t="s">
        <v>19</v>
      </c>
      <c r="I381" s="1">
        <v>1</v>
      </c>
      <c r="J381" s="4">
        <v>53169000</v>
      </c>
      <c r="K381" s="4">
        <v>43849000</v>
      </c>
      <c r="L381" s="4">
        <v>9320000</v>
      </c>
      <c r="M381" s="1" t="s">
        <v>20</v>
      </c>
    </row>
    <row r="382" spans="1:13">
      <c r="A382" s="1" t="s">
        <v>604</v>
      </c>
      <c r="B382" s="3">
        <v>45719</v>
      </c>
      <c r="C382" s="1" t="s">
        <v>330</v>
      </c>
      <c r="D382" s="1" t="s">
        <v>23</v>
      </c>
      <c r="E382" s="1" t="s">
        <v>64</v>
      </c>
      <c r="F382" s="1" t="s">
        <v>29</v>
      </c>
      <c r="G382" s="1" t="s">
        <v>41</v>
      </c>
      <c r="H382" s="1" t="s">
        <v>25</v>
      </c>
      <c r="I382" s="1">
        <v>1</v>
      </c>
      <c r="J382" s="4">
        <v>20835000</v>
      </c>
      <c r="K382" s="4">
        <v>18948000</v>
      </c>
      <c r="L382" s="4">
        <v>1887000</v>
      </c>
      <c r="M382" s="1" t="s">
        <v>20</v>
      </c>
    </row>
    <row r="383" spans="1:13">
      <c r="A383" s="1" t="s">
        <v>605</v>
      </c>
      <c r="B383" s="3">
        <v>45949</v>
      </c>
      <c r="C383" s="1" t="s">
        <v>105</v>
      </c>
      <c r="D383" s="1" t="s">
        <v>15</v>
      </c>
      <c r="E383" s="1" t="s">
        <v>64</v>
      </c>
      <c r="F383" s="1" t="s">
        <v>29</v>
      </c>
      <c r="G383" s="1" t="s">
        <v>30</v>
      </c>
      <c r="H383" s="1" t="s">
        <v>110</v>
      </c>
      <c r="I383" s="1">
        <v>1</v>
      </c>
      <c r="J383" s="4">
        <v>23146000</v>
      </c>
      <c r="K383" s="4">
        <v>17715000</v>
      </c>
      <c r="L383" s="4">
        <v>5431000</v>
      </c>
      <c r="M383" s="1" t="s">
        <v>20</v>
      </c>
    </row>
    <row r="384" spans="1:13">
      <c r="A384" s="1" t="s">
        <v>606</v>
      </c>
      <c r="B384" s="3">
        <v>45982</v>
      </c>
      <c r="C384" s="1" t="s">
        <v>254</v>
      </c>
      <c r="D384" s="1" t="s">
        <v>23</v>
      </c>
      <c r="E384" s="1" t="s">
        <v>16</v>
      </c>
      <c r="F384" s="1" t="s">
        <v>17</v>
      </c>
      <c r="G384" s="1" t="s">
        <v>18</v>
      </c>
      <c r="H384" s="1" t="s">
        <v>31</v>
      </c>
      <c r="I384" s="1">
        <v>1</v>
      </c>
      <c r="J384" s="4">
        <v>15359000</v>
      </c>
      <c r="K384" s="4">
        <v>14611000</v>
      </c>
      <c r="L384" s="4">
        <v>748000</v>
      </c>
      <c r="M384" s="1" t="s">
        <v>20</v>
      </c>
    </row>
    <row r="385" spans="1:13">
      <c r="A385" s="1" t="s">
        <v>607</v>
      </c>
      <c r="B385" s="3">
        <v>45972</v>
      </c>
      <c r="C385" s="1" t="s">
        <v>608</v>
      </c>
      <c r="D385" s="1" t="s">
        <v>23</v>
      </c>
      <c r="E385" s="1" t="s">
        <v>44</v>
      </c>
      <c r="F385" s="1" t="s">
        <v>17</v>
      </c>
      <c r="G385" s="1" t="s">
        <v>41</v>
      </c>
      <c r="H385" s="1" t="s">
        <v>34</v>
      </c>
      <c r="I385" s="1">
        <v>1</v>
      </c>
      <c r="J385" s="4">
        <v>21775000</v>
      </c>
      <c r="K385" s="4">
        <v>20720000</v>
      </c>
      <c r="L385" s="4">
        <v>1055000</v>
      </c>
      <c r="M385" s="1" t="s">
        <v>20</v>
      </c>
    </row>
    <row r="386" spans="1:13">
      <c r="A386" s="1" t="s">
        <v>609</v>
      </c>
      <c r="B386" s="3">
        <v>45822</v>
      </c>
      <c r="C386" s="1" t="s">
        <v>496</v>
      </c>
      <c r="D386" s="1" t="s">
        <v>23</v>
      </c>
      <c r="E386" s="1" t="s">
        <v>40</v>
      </c>
      <c r="F386" s="1" t="s">
        <v>29</v>
      </c>
      <c r="G386" s="1" t="s">
        <v>41</v>
      </c>
      <c r="H386" s="1" t="s">
        <v>110</v>
      </c>
      <c r="I386" s="1">
        <v>1</v>
      </c>
      <c r="J386" s="4">
        <v>16252000</v>
      </c>
      <c r="K386" s="4">
        <v>20263000</v>
      </c>
      <c r="L386" s="4">
        <v>-4011000</v>
      </c>
      <c r="M386" s="1" t="s">
        <v>20</v>
      </c>
    </row>
    <row r="387" spans="1:13">
      <c r="A387" s="1" t="s">
        <v>610</v>
      </c>
      <c r="B387" s="3">
        <v>45724</v>
      </c>
      <c r="C387" s="1" t="s">
        <v>59</v>
      </c>
      <c r="D387" s="1" t="s">
        <v>23</v>
      </c>
      <c r="E387" s="1" t="s">
        <v>16</v>
      </c>
      <c r="F387" s="1" t="s">
        <v>17</v>
      </c>
      <c r="G387" s="1" t="s">
        <v>24</v>
      </c>
      <c r="H387" s="1" t="s">
        <v>19</v>
      </c>
      <c r="I387" s="1">
        <v>1</v>
      </c>
      <c r="J387" s="4">
        <v>17073000</v>
      </c>
      <c r="K387" s="4">
        <v>13841000</v>
      </c>
      <c r="L387" s="4">
        <v>3232000</v>
      </c>
      <c r="M387" s="1" t="s">
        <v>69</v>
      </c>
    </row>
    <row r="388" spans="1:13">
      <c r="A388" s="1" t="s">
        <v>611</v>
      </c>
      <c r="B388" s="3">
        <v>45926</v>
      </c>
      <c r="C388" s="1" t="s">
        <v>81</v>
      </c>
      <c r="D388" s="1" t="s">
        <v>15</v>
      </c>
      <c r="E388" s="1" t="s">
        <v>44</v>
      </c>
      <c r="F388" s="1" t="s">
        <v>17</v>
      </c>
      <c r="G388" s="1" t="s">
        <v>30</v>
      </c>
      <c r="H388" s="1" t="s">
        <v>25</v>
      </c>
      <c r="I388" s="1">
        <v>3</v>
      </c>
      <c r="J388" s="4">
        <v>78272000</v>
      </c>
      <c r="K388" s="4">
        <v>68025000</v>
      </c>
      <c r="L388" s="4">
        <v>10247000</v>
      </c>
      <c r="M388" s="1" t="s">
        <v>20</v>
      </c>
    </row>
    <row r="389" spans="1:13">
      <c r="A389" s="1" t="s">
        <v>612</v>
      </c>
      <c r="B389" s="3">
        <v>45667</v>
      </c>
      <c r="C389" s="1" t="s">
        <v>613</v>
      </c>
      <c r="D389" s="1" t="s">
        <v>15</v>
      </c>
      <c r="E389" s="1" t="s">
        <v>54</v>
      </c>
      <c r="F389" s="1" t="s">
        <v>17</v>
      </c>
      <c r="G389" s="1" t="s">
        <v>18</v>
      </c>
      <c r="H389" s="1" t="s">
        <v>25</v>
      </c>
      <c r="I389" s="1">
        <v>1</v>
      </c>
      <c r="J389" s="4">
        <v>29510000</v>
      </c>
      <c r="K389" s="4">
        <v>23408000</v>
      </c>
      <c r="L389" s="4">
        <v>6102000</v>
      </c>
      <c r="M389" s="1" t="s">
        <v>20</v>
      </c>
    </row>
    <row r="390" spans="1:13">
      <c r="A390" s="1" t="s">
        <v>614</v>
      </c>
      <c r="B390" s="3">
        <v>45985</v>
      </c>
      <c r="C390" s="1" t="s">
        <v>229</v>
      </c>
      <c r="D390" s="1" t="s">
        <v>23</v>
      </c>
      <c r="E390" s="1" t="s">
        <v>54</v>
      </c>
      <c r="F390" s="1" t="s">
        <v>17</v>
      </c>
      <c r="G390" s="1" t="s">
        <v>18</v>
      </c>
      <c r="H390" s="1" t="s">
        <v>37</v>
      </c>
      <c r="I390" s="1">
        <v>1</v>
      </c>
      <c r="J390" s="4">
        <v>24990000</v>
      </c>
      <c r="K390" s="4">
        <v>23576000</v>
      </c>
      <c r="L390" s="4">
        <v>1414000</v>
      </c>
      <c r="M390" s="1" t="s">
        <v>20</v>
      </c>
    </row>
    <row r="391" spans="1:13">
      <c r="A391" s="1" t="s">
        <v>615</v>
      </c>
      <c r="B391" s="3">
        <v>45717</v>
      </c>
      <c r="C391" s="1" t="s">
        <v>616</v>
      </c>
      <c r="D391" s="1" t="s">
        <v>23</v>
      </c>
      <c r="E391" s="1" t="s">
        <v>44</v>
      </c>
      <c r="F391" s="1" t="s">
        <v>17</v>
      </c>
      <c r="G391" s="1" t="s">
        <v>18</v>
      </c>
      <c r="H391" s="1" t="s">
        <v>110</v>
      </c>
      <c r="I391" s="1">
        <v>1</v>
      </c>
      <c r="J391" s="4">
        <v>26544000</v>
      </c>
      <c r="K391" s="4">
        <v>21044000</v>
      </c>
      <c r="L391" s="4">
        <v>5500000</v>
      </c>
      <c r="M391" s="1" t="s">
        <v>20</v>
      </c>
    </row>
    <row r="392" spans="1:13">
      <c r="A392" s="1" t="s">
        <v>617</v>
      </c>
      <c r="B392" s="3">
        <v>45873</v>
      </c>
      <c r="C392" s="1" t="s">
        <v>566</v>
      </c>
      <c r="D392" s="1" t="s">
        <v>15</v>
      </c>
      <c r="E392" s="1" t="s">
        <v>60</v>
      </c>
      <c r="F392" s="1" t="s">
        <v>61</v>
      </c>
      <c r="G392" s="1" t="s">
        <v>24</v>
      </c>
      <c r="H392" s="1" t="s">
        <v>37</v>
      </c>
      <c r="I392" s="1">
        <v>1</v>
      </c>
      <c r="J392" s="4">
        <v>62143000</v>
      </c>
      <c r="K392" s="4">
        <v>48668000</v>
      </c>
      <c r="L392" s="4">
        <v>13475000</v>
      </c>
      <c r="M392" s="1" t="s">
        <v>20</v>
      </c>
    </row>
    <row r="393" spans="1:13">
      <c r="A393" s="1" t="s">
        <v>618</v>
      </c>
      <c r="B393" s="3">
        <v>45974</v>
      </c>
      <c r="C393" s="1" t="s">
        <v>141</v>
      </c>
      <c r="D393" s="1" t="s">
        <v>23</v>
      </c>
      <c r="E393" s="1" t="s">
        <v>16</v>
      </c>
      <c r="F393" s="1" t="s">
        <v>17</v>
      </c>
      <c r="G393" s="1" t="s">
        <v>30</v>
      </c>
      <c r="H393" s="1" t="s">
        <v>110</v>
      </c>
      <c r="I393" s="1">
        <v>1</v>
      </c>
      <c r="J393" s="4">
        <v>14256000</v>
      </c>
      <c r="K393" s="4">
        <v>14065000</v>
      </c>
      <c r="L393" s="4">
        <v>191000</v>
      </c>
      <c r="M393" s="1" t="s">
        <v>20</v>
      </c>
    </row>
    <row r="394" spans="1:13">
      <c r="A394" s="1" t="s">
        <v>619</v>
      </c>
      <c r="B394" s="3">
        <v>46018</v>
      </c>
      <c r="C394" s="1" t="s">
        <v>620</v>
      </c>
      <c r="D394" s="1" t="s">
        <v>23</v>
      </c>
      <c r="E394" s="1" t="s">
        <v>44</v>
      </c>
      <c r="F394" s="1" t="s">
        <v>17</v>
      </c>
      <c r="G394" s="1" t="s">
        <v>18</v>
      </c>
      <c r="H394" s="1" t="s">
        <v>34</v>
      </c>
      <c r="I394" s="1">
        <v>1</v>
      </c>
      <c r="J394" s="4">
        <v>28046000</v>
      </c>
      <c r="K394" s="4">
        <v>22210000</v>
      </c>
      <c r="L394" s="4">
        <v>5836000</v>
      </c>
      <c r="M394" s="1" t="s">
        <v>20</v>
      </c>
    </row>
    <row r="395" spans="1:13">
      <c r="A395" s="1" t="s">
        <v>621</v>
      </c>
      <c r="B395" s="3">
        <v>46001</v>
      </c>
      <c r="C395" s="1" t="s">
        <v>622</v>
      </c>
      <c r="D395" s="1" t="s">
        <v>23</v>
      </c>
      <c r="E395" s="1" t="s">
        <v>16</v>
      </c>
      <c r="F395" s="1" t="s">
        <v>17</v>
      </c>
      <c r="G395" s="1" t="s">
        <v>18</v>
      </c>
      <c r="H395" s="1" t="s">
        <v>110</v>
      </c>
      <c r="I395" s="1">
        <v>1</v>
      </c>
      <c r="J395" s="4">
        <v>18076000</v>
      </c>
      <c r="K395" s="4">
        <v>15152000</v>
      </c>
      <c r="L395" s="4">
        <v>2924000</v>
      </c>
      <c r="M395" s="1" t="s">
        <v>20</v>
      </c>
    </row>
    <row r="396" spans="1:13">
      <c r="A396" s="1" t="s">
        <v>623</v>
      </c>
      <c r="B396" s="3">
        <v>45987</v>
      </c>
      <c r="C396" s="1" t="s">
        <v>577</v>
      </c>
      <c r="D396" s="1" t="s">
        <v>15</v>
      </c>
      <c r="E396" s="1" t="s">
        <v>54</v>
      </c>
      <c r="F396" s="1" t="s">
        <v>17</v>
      </c>
      <c r="G396" s="1" t="s">
        <v>41</v>
      </c>
      <c r="H396" s="1" t="s">
        <v>110</v>
      </c>
      <c r="I396" s="1">
        <v>1</v>
      </c>
      <c r="J396" s="4">
        <v>23378000</v>
      </c>
      <c r="K396" s="4">
        <v>22272000</v>
      </c>
      <c r="L396" s="4">
        <v>1106000</v>
      </c>
      <c r="M396" s="1" t="s">
        <v>20</v>
      </c>
    </row>
    <row r="397" spans="1:13">
      <c r="A397" s="1" t="s">
        <v>624</v>
      </c>
      <c r="B397" s="3">
        <v>46004</v>
      </c>
      <c r="C397" s="1" t="s">
        <v>101</v>
      </c>
      <c r="D397" s="1" t="s">
        <v>15</v>
      </c>
      <c r="E397" s="1" t="s">
        <v>44</v>
      </c>
      <c r="F397" s="1" t="s">
        <v>17</v>
      </c>
      <c r="G397" s="1" t="s">
        <v>30</v>
      </c>
      <c r="H397" s="1" t="s">
        <v>110</v>
      </c>
      <c r="I397" s="1">
        <v>1</v>
      </c>
      <c r="J397" s="4">
        <v>27522000</v>
      </c>
      <c r="K397" s="4">
        <v>20810000</v>
      </c>
      <c r="L397" s="4">
        <v>6712000</v>
      </c>
      <c r="M397" s="1" t="s">
        <v>20</v>
      </c>
    </row>
    <row r="398" spans="1:13">
      <c r="A398" s="1" t="s">
        <v>625</v>
      </c>
      <c r="B398" s="3">
        <v>45841</v>
      </c>
      <c r="C398" s="1" t="s">
        <v>121</v>
      </c>
      <c r="D398" s="1" t="s">
        <v>15</v>
      </c>
      <c r="E398" s="1" t="s">
        <v>64</v>
      </c>
      <c r="F398" s="1" t="s">
        <v>29</v>
      </c>
      <c r="G398" s="1" t="s">
        <v>49</v>
      </c>
      <c r="H398" s="1" t="s">
        <v>25</v>
      </c>
      <c r="I398" s="1">
        <v>1</v>
      </c>
      <c r="J398" s="4">
        <v>22777000</v>
      </c>
      <c r="K398" s="4">
        <v>18067000</v>
      </c>
      <c r="L398" s="4">
        <v>4710000</v>
      </c>
      <c r="M398" s="1" t="s">
        <v>20</v>
      </c>
    </row>
    <row r="399" spans="1:13">
      <c r="A399" s="1" t="s">
        <v>626</v>
      </c>
      <c r="B399" s="3">
        <v>45891</v>
      </c>
      <c r="C399" s="1" t="s">
        <v>627</v>
      </c>
      <c r="D399" s="1" t="s">
        <v>23</v>
      </c>
      <c r="E399" s="1" t="s">
        <v>54</v>
      </c>
      <c r="F399" s="1" t="s">
        <v>17</v>
      </c>
      <c r="G399" s="1" t="s">
        <v>30</v>
      </c>
      <c r="H399" s="1" t="s">
        <v>37</v>
      </c>
      <c r="I399" s="1">
        <v>2</v>
      </c>
      <c r="J399" s="4">
        <v>59507000</v>
      </c>
      <c r="K399" s="4">
        <v>47091000</v>
      </c>
      <c r="L399" s="4">
        <v>12416000</v>
      </c>
      <c r="M399" s="1" t="s">
        <v>20</v>
      </c>
    </row>
    <row r="400" spans="1:13">
      <c r="A400" s="1" t="s">
        <v>628</v>
      </c>
      <c r="B400" s="3">
        <v>45688</v>
      </c>
      <c r="C400" s="1" t="s">
        <v>99</v>
      </c>
      <c r="D400" s="1" t="s">
        <v>15</v>
      </c>
      <c r="E400" s="1" t="s">
        <v>64</v>
      </c>
      <c r="F400" s="1" t="s">
        <v>29</v>
      </c>
      <c r="G400" s="1" t="s">
        <v>30</v>
      </c>
      <c r="H400" s="1" t="s">
        <v>19</v>
      </c>
      <c r="I400" s="1">
        <v>1</v>
      </c>
      <c r="J400" s="4">
        <v>23286000</v>
      </c>
      <c r="K400" s="4">
        <v>18268000</v>
      </c>
      <c r="L400" s="4">
        <v>5018000</v>
      </c>
      <c r="M400" s="1" t="s">
        <v>20</v>
      </c>
    </row>
    <row r="401" spans="1:13">
      <c r="A401" s="1" t="s">
        <v>629</v>
      </c>
      <c r="B401" s="3">
        <v>45852</v>
      </c>
      <c r="C401" s="1" t="s">
        <v>165</v>
      </c>
      <c r="D401" s="1" t="s">
        <v>15</v>
      </c>
      <c r="E401" s="1" t="s">
        <v>40</v>
      </c>
      <c r="F401" s="1" t="s">
        <v>29</v>
      </c>
      <c r="G401" s="1" t="s">
        <v>49</v>
      </c>
      <c r="H401" s="1" t="s">
        <v>34</v>
      </c>
      <c r="I401" s="1">
        <v>2</v>
      </c>
      <c r="J401" s="4">
        <v>50611000</v>
      </c>
      <c r="K401" s="4">
        <v>40500000</v>
      </c>
      <c r="L401" s="4">
        <v>10111000</v>
      </c>
      <c r="M401" s="1" t="s">
        <v>20</v>
      </c>
    </row>
    <row r="402" spans="1:13">
      <c r="A402" s="1" t="s">
        <v>630</v>
      </c>
      <c r="B402" s="3">
        <v>45868</v>
      </c>
      <c r="C402" s="1" t="s">
        <v>631</v>
      </c>
      <c r="D402" s="1" t="s">
        <v>23</v>
      </c>
      <c r="E402" s="1" t="s">
        <v>44</v>
      </c>
      <c r="F402" s="1" t="s">
        <v>17</v>
      </c>
      <c r="G402" s="1" t="s">
        <v>24</v>
      </c>
      <c r="H402" s="1" t="s">
        <v>37</v>
      </c>
      <c r="I402" s="1">
        <v>1</v>
      </c>
      <c r="J402" s="4">
        <v>24953000</v>
      </c>
      <c r="K402" s="4">
        <v>22603000</v>
      </c>
      <c r="L402" s="4">
        <v>2350000</v>
      </c>
      <c r="M402" s="1" t="s">
        <v>20</v>
      </c>
    </row>
    <row r="403" spans="1:13">
      <c r="A403" s="1" t="s">
        <v>632</v>
      </c>
      <c r="B403" s="3">
        <v>45947</v>
      </c>
      <c r="C403" s="1" t="s">
        <v>269</v>
      </c>
      <c r="D403" s="1" t="s">
        <v>15</v>
      </c>
      <c r="E403" s="1" t="s">
        <v>54</v>
      </c>
      <c r="F403" s="1" t="s">
        <v>17</v>
      </c>
      <c r="G403" s="1" t="s">
        <v>30</v>
      </c>
      <c r="H403" s="1" t="s">
        <v>25</v>
      </c>
      <c r="I403" s="1">
        <v>2</v>
      </c>
      <c r="J403" s="4">
        <v>57427000</v>
      </c>
      <c r="K403" s="4">
        <v>47273000</v>
      </c>
      <c r="L403" s="4">
        <v>10154000</v>
      </c>
      <c r="M403" s="1" t="s">
        <v>20</v>
      </c>
    </row>
    <row r="404" spans="1:13">
      <c r="A404" s="1" t="s">
        <v>633</v>
      </c>
      <c r="B404" s="3">
        <v>45835</v>
      </c>
      <c r="C404" s="1" t="s">
        <v>368</v>
      </c>
      <c r="D404" s="1" t="s">
        <v>15</v>
      </c>
      <c r="E404" s="1" t="s">
        <v>60</v>
      </c>
      <c r="F404" s="1" t="s">
        <v>61</v>
      </c>
      <c r="G404" s="1" t="s">
        <v>30</v>
      </c>
      <c r="H404" s="1" t="s">
        <v>19</v>
      </c>
      <c r="I404" s="1">
        <v>1</v>
      </c>
      <c r="J404" s="4">
        <v>46003000</v>
      </c>
      <c r="K404" s="4">
        <v>52480000</v>
      </c>
      <c r="L404" s="4">
        <v>-6477000</v>
      </c>
      <c r="M404" s="1" t="s">
        <v>20</v>
      </c>
    </row>
    <row r="405" spans="1:13">
      <c r="A405" s="1" t="s">
        <v>634</v>
      </c>
      <c r="B405" s="3">
        <v>45898</v>
      </c>
      <c r="C405" s="1" t="s">
        <v>364</v>
      </c>
      <c r="D405" s="1" t="s">
        <v>15</v>
      </c>
      <c r="E405" s="1" t="s">
        <v>64</v>
      </c>
      <c r="F405" s="1" t="s">
        <v>29</v>
      </c>
      <c r="G405" s="1" t="s">
        <v>24</v>
      </c>
      <c r="H405" s="1" t="s">
        <v>31</v>
      </c>
      <c r="I405" s="1">
        <v>1</v>
      </c>
      <c r="J405" s="4">
        <v>22086000</v>
      </c>
      <c r="K405" s="4">
        <v>17826000</v>
      </c>
      <c r="L405" s="4">
        <v>4260000</v>
      </c>
      <c r="M405" s="1" t="s">
        <v>69</v>
      </c>
    </row>
    <row r="406" spans="1:13">
      <c r="A406" s="1" t="s">
        <v>635</v>
      </c>
      <c r="B406" s="3">
        <v>45939</v>
      </c>
      <c r="C406" s="1" t="s">
        <v>636</v>
      </c>
      <c r="D406" s="1" t="s">
        <v>23</v>
      </c>
      <c r="E406" s="1" t="s">
        <v>60</v>
      </c>
      <c r="F406" s="1" t="s">
        <v>61</v>
      </c>
      <c r="G406" s="1" t="s">
        <v>49</v>
      </c>
      <c r="H406" s="1" t="s">
        <v>25</v>
      </c>
      <c r="I406" s="1">
        <v>1</v>
      </c>
      <c r="J406" s="4">
        <v>60981000</v>
      </c>
      <c r="K406" s="4">
        <v>52021000</v>
      </c>
      <c r="L406" s="4">
        <v>8960000</v>
      </c>
      <c r="M406" s="1" t="s">
        <v>20</v>
      </c>
    </row>
    <row r="407" spans="1:13">
      <c r="A407" s="1" t="s">
        <v>637</v>
      </c>
      <c r="B407" s="3">
        <v>45819</v>
      </c>
      <c r="C407" s="1" t="s">
        <v>559</v>
      </c>
      <c r="D407" s="1" t="s">
        <v>23</v>
      </c>
      <c r="E407" s="1" t="s">
        <v>16</v>
      </c>
      <c r="F407" s="1" t="s">
        <v>17</v>
      </c>
      <c r="G407" s="1" t="s">
        <v>18</v>
      </c>
      <c r="H407" s="1" t="s">
        <v>19</v>
      </c>
      <c r="I407" s="1">
        <v>1</v>
      </c>
      <c r="J407" s="4">
        <v>12355000</v>
      </c>
      <c r="K407" s="4">
        <v>14373000</v>
      </c>
      <c r="L407" s="4">
        <v>-2018000</v>
      </c>
      <c r="M407" s="1" t="s">
        <v>20</v>
      </c>
    </row>
    <row r="408" spans="1:13">
      <c r="A408" s="1" t="s">
        <v>638</v>
      </c>
      <c r="B408" s="3">
        <v>45974</v>
      </c>
      <c r="C408" s="1" t="s">
        <v>639</v>
      </c>
      <c r="D408" s="1" t="s">
        <v>15</v>
      </c>
      <c r="E408" s="1" t="s">
        <v>60</v>
      </c>
      <c r="F408" s="1" t="s">
        <v>61</v>
      </c>
      <c r="G408" s="1" t="s">
        <v>18</v>
      </c>
      <c r="H408" s="1" t="s">
        <v>31</v>
      </c>
      <c r="I408" s="1">
        <v>1</v>
      </c>
      <c r="J408" s="4">
        <v>51275000</v>
      </c>
      <c r="K408" s="4">
        <v>50279000</v>
      </c>
      <c r="L408" s="4">
        <v>996000</v>
      </c>
      <c r="M408" s="1" t="s">
        <v>20</v>
      </c>
    </row>
    <row r="409" spans="1:13">
      <c r="A409" s="1" t="s">
        <v>640</v>
      </c>
      <c r="B409" s="3">
        <v>45890</v>
      </c>
      <c r="C409" s="1" t="s">
        <v>641</v>
      </c>
      <c r="D409" s="1" t="s">
        <v>15</v>
      </c>
      <c r="E409" s="1" t="s">
        <v>44</v>
      </c>
      <c r="F409" s="1" t="s">
        <v>17</v>
      </c>
      <c r="G409" s="1" t="s">
        <v>30</v>
      </c>
      <c r="H409" s="1" t="s">
        <v>34</v>
      </c>
      <c r="I409" s="1">
        <v>1</v>
      </c>
      <c r="J409" s="4">
        <v>27379000</v>
      </c>
      <c r="K409" s="4">
        <v>21502000</v>
      </c>
      <c r="L409" s="4">
        <v>5877000</v>
      </c>
      <c r="M409" s="1" t="s">
        <v>20</v>
      </c>
    </row>
    <row r="410" spans="1:13">
      <c r="A410" s="1" t="s">
        <v>642</v>
      </c>
      <c r="B410" s="3">
        <v>45832</v>
      </c>
      <c r="C410" s="1" t="s">
        <v>51</v>
      </c>
      <c r="D410" s="1" t="s">
        <v>15</v>
      </c>
      <c r="E410" s="1" t="s">
        <v>44</v>
      </c>
      <c r="F410" s="1" t="s">
        <v>17</v>
      </c>
      <c r="G410" s="1" t="s">
        <v>30</v>
      </c>
      <c r="H410" s="1" t="s">
        <v>25</v>
      </c>
      <c r="I410" s="1">
        <v>1</v>
      </c>
      <c r="J410" s="4">
        <v>19294000</v>
      </c>
      <c r="K410" s="4">
        <v>21525000</v>
      </c>
      <c r="L410" s="4">
        <v>-2231000</v>
      </c>
      <c r="M410" s="1" t="s">
        <v>20</v>
      </c>
    </row>
    <row r="411" spans="1:13">
      <c r="A411" s="1" t="s">
        <v>643</v>
      </c>
      <c r="B411" s="3">
        <v>45729</v>
      </c>
      <c r="C411" s="1" t="s">
        <v>644</v>
      </c>
      <c r="D411" s="1" t="s">
        <v>15</v>
      </c>
      <c r="E411" s="1" t="s">
        <v>40</v>
      </c>
      <c r="F411" s="1" t="s">
        <v>29</v>
      </c>
      <c r="G411" s="1" t="s">
        <v>49</v>
      </c>
      <c r="H411" s="1" t="s">
        <v>31</v>
      </c>
      <c r="I411" s="1">
        <v>1</v>
      </c>
      <c r="J411" s="4">
        <v>23353000</v>
      </c>
      <c r="K411" s="4">
        <v>19198000</v>
      </c>
      <c r="L411" s="4">
        <v>4155000</v>
      </c>
      <c r="M411" s="1" t="s">
        <v>20</v>
      </c>
    </row>
    <row r="412" spans="1:13">
      <c r="A412" s="1" t="s">
        <v>645</v>
      </c>
      <c r="B412" s="3">
        <v>45892</v>
      </c>
      <c r="C412" s="1" t="s">
        <v>194</v>
      </c>
      <c r="D412" s="1" t="s">
        <v>23</v>
      </c>
      <c r="E412" s="1" t="s">
        <v>40</v>
      </c>
      <c r="F412" s="1" t="s">
        <v>29</v>
      </c>
      <c r="G412" s="1" t="s">
        <v>24</v>
      </c>
      <c r="H412" s="1" t="s">
        <v>34</v>
      </c>
      <c r="I412" s="1">
        <v>1</v>
      </c>
      <c r="J412" s="4">
        <v>24922000</v>
      </c>
      <c r="K412" s="4">
        <v>18902000</v>
      </c>
      <c r="L412" s="4">
        <v>6020000</v>
      </c>
      <c r="M412" s="1" t="s">
        <v>20</v>
      </c>
    </row>
    <row r="413" spans="1:13">
      <c r="A413" s="1" t="s">
        <v>646</v>
      </c>
      <c r="B413" s="3">
        <v>45888</v>
      </c>
      <c r="C413" s="1" t="s">
        <v>325</v>
      </c>
      <c r="D413" s="1" t="s">
        <v>23</v>
      </c>
      <c r="E413" s="1" t="s">
        <v>28</v>
      </c>
      <c r="F413" s="1" t="s">
        <v>29</v>
      </c>
      <c r="G413" s="1" t="s">
        <v>49</v>
      </c>
      <c r="H413" s="1" t="s">
        <v>19</v>
      </c>
      <c r="I413" s="1">
        <v>1</v>
      </c>
      <c r="J413" s="4">
        <v>55396000</v>
      </c>
      <c r="K413" s="4">
        <v>41344000</v>
      </c>
      <c r="L413" s="4">
        <v>14052000</v>
      </c>
      <c r="M413" s="1" t="s">
        <v>20</v>
      </c>
    </row>
    <row r="414" spans="1:13">
      <c r="A414" s="1" t="s">
        <v>647</v>
      </c>
      <c r="B414" s="3">
        <v>45905</v>
      </c>
      <c r="C414" s="1" t="s">
        <v>566</v>
      </c>
      <c r="D414" s="1" t="s">
        <v>15</v>
      </c>
      <c r="E414" s="1" t="s">
        <v>64</v>
      </c>
      <c r="F414" s="1" t="s">
        <v>29</v>
      </c>
      <c r="G414" s="1" t="s">
        <v>49</v>
      </c>
      <c r="H414" s="1" t="s">
        <v>37</v>
      </c>
      <c r="I414" s="1">
        <v>2</v>
      </c>
      <c r="J414" s="4">
        <v>45317000</v>
      </c>
      <c r="K414" s="4">
        <v>35406000</v>
      </c>
      <c r="L414" s="4">
        <v>9911000</v>
      </c>
      <c r="M414" s="1" t="s">
        <v>20</v>
      </c>
    </row>
    <row r="415" spans="1:13">
      <c r="A415" s="1" t="s">
        <v>648</v>
      </c>
      <c r="B415" s="3">
        <v>45965</v>
      </c>
      <c r="C415" s="1" t="s">
        <v>649</v>
      </c>
      <c r="D415" s="1" t="s">
        <v>23</v>
      </c>
      <c r="E415" s="1" t="s">
        <v>57</v>
      </c>
      <c r="F415" s="1" t="s">
        <v>29</v>
      </c>
      <c r="G415" s="1" t="s">
        <v>41</v>
      </c>
      <c r="H415" s="1" t="s">
        <v>25</v>
      </c>
      <c r="I415" s="1">
        <v>2</v>
      </c>
      <c r="J415" s="4">
        <v>70127000</v>
      </c>
      <c r="K415" s="4">
        <v>71774000</v>
      </c>
      <c r="L415" s="4">
        <v>-1647000</v>
      </c>
      <c r="M415" s="1" t="s">
        <v>20</v>
      </c>
    </row>
    <row r="416" spans="1:13">
      <c r="A416" s="1" t="s">
        <v>650</v>
      </c>
      <c r="B416" s="3">
        <v>45833</v>
      </c>
      <c r="C416" s="1" t="s">
        <v>125</v>
      </c>
      <c r="D416" s="1" t="s">
        <v>23</v>
      </c>
      <c r="E416" s="1" t="s">
        <v>64</v>
      </c>
      <c r="F416" s="1" t="s">
        <v>29</v>
      </c>
      <c r="G416" s="1" t="s">
        <v>24</v>
      </c>
      <c r="H416" s="1" t="s">
        <v>110</v>
      </c>
      <c r="I416" s="1">
        <v>1</v>
      </c>
      <c r="J416" s="4">
        <v>15740000</v>
      </c>
      <c r="K416" s="4">
        <v>18666000</v>
      </c>
      <c r="L416" s="4">
        <v>-2926000</v>
      </c>
      <c r="M416" s="1" t="s">
        <v>20</v>
      </c>
    </row>
    <row r="417" spans="1:13">
      <c r="A417" s="1" t="s">
        <v>651</v>
      </c>
      <c r="B417" s="3">
        <v>46022</v>
      </c>
      <c r="C417" s="1" t="s">
        <v>208</v>
      </c>
      <c r="D417" s="1" t="s">
        <v>23</v>
      </c>
      <c r="E417" s="1" t="s">
        <v>40</v>
      </c>
      <c r="F417" s="1" t="s">
        <v>29</v>
      </c>
      <c r="G417" s="1" t="s">
        <v>30</v>
      </c>
      <c r="H417" s="1" t="s">
        <v>37</v>
      </c>
      <c r="I417" s="1">
        <v>1</v>
      </c>
      <c r="J417" s="4">
        <v>23214000</v>
      </c>
      <c r="K417" s="4">
        <v>20224000</v>
      </c>
      <c r="L417" s="4">
        <v>2990000</v>
      </c>
      <c r="M417" s="1" t="s">
        <v>20</v>
      </c>
    </row>
    <row r="418" spans="1:13">
      <c r="A418" s="1" t="s">
        <v>652</v>
      </c>
      <c r="B418" s="3">
        <v>45990</v>
      </c>
      <c r="C418" s="1" t="s">
        <v>653</v>
      </c>
      <c r="D418" s="1" t="s">
        <v>23</v>
      </c>
      <c r="E418" s="1" t="s">
        <v>64</v>
      </c>
      <c r="F418" s="1" t="s">
        <v>29</v>
      </c>
      <c r="G418" s="1" t="s">
        <v>49</v>
      </c>
      <c r="H418" s="1" t="s">
        <v>19</v>
      </c>
      <c r="I418" s="1">
        <v>1</v>
      </c>
      <c r="J418" s="4">
        <v>18451000</v>
      </c>
      <c r="K418" s="4">
        <v>18685000</v>
      </c>
      <c r="L418" s="4">
        <v>-234000</v>
      </c>
      <c r="M418" s="1" t="s">
        <v>20</v>
      </c>
    </row>
    <row r="419" spans="1:13">
      <c r="A419" s="1" t="s">
        <v>654</v>
      </c>
      <c r="B419" s="3">
        <v>45950</v>
      </c>
      <c r="C419" s="1" t="s">
        <v>71</v>
      </c>
      <c r="D419" s="1" t="s">
        <v>15</v>
      </c>
      <c r="E419" s="1" t="s">
        <v>64</v>
      </c>
      <c r="F419" s="1" t="s">
        <v>29</v>
      </c>
      <c r="G419" s="1" t="s">
        <v>18</v>
      </c>
      <c r="H419" s="1" t="s">
        <v>19</v>
      </c>
      <c r="I419" s="1">
        <v>1</v>
      </c>
      <c r="J419" s="4">
        <v>23236000</v>
      </c>
      <c r="K419" s="4">
        <v>18362000</v>
      </c>
      <c r="L419" s="4">
        <v>4874000</v>
      </c>
      <c r="M419" s="1" t="s">
        <v>20</v>
      </c>
    </row>
    <row r="420" spans="1:13">
      <c r="A420" s="1" t="s">
        <v>655</v>
      </c>
      <c r="B420" s="3">
        <v>45712</v>
      </c>
      <c r="C420" s="1" t="s">
        <v>87</v>
      </c>
      <c r="D420" s="1" t="s">
        <v>23</v>
      </c>
      <c r="E420" s="1" t="s">
        <v>16</v>
      </c>
      <c r="F420" s="1" t="s">
        <v>17</v>
      </c>
      <c r="G420" s="1" t="s">
        <v>41</v>
      </c>
      <c r="H420" s="1" t="s">
        <v>31</v>
      </c>
      <c r="I420" s="1">
        <v>1</v>
      </c>
      <c r="J420" s="4">
        <v>17388000</v>
      </c>
      <c r="K420" s="4">
        <v>14863000</v>
      </c>
      <c r="L420" s="4">
        <v>2525000</v>
      </c>
      <c r="M420" s="1" t="s">
        <v>20</v>
      </c>
    </row>
    <row r="421" spans="1:13">
      <c r="A421" s="1" t="s">
        <v>656</v>
      </c>
      <c r="B421" s="3">
        <v>45689</v>
      </c>
      <c r="C421" s="1" t="s">
        <v>179</v>
      </c>
      <c r="D421" s="1" t="s">
        <v>23</v>
      </c>
      <c r="E421" s="1" t="s">
        <v>40</v>
      </c>
      <c r="F421" s="1" t="s">
        <v>29</v>
      </c>
      <c r="G421" s="1" t="s">
        <v>24</v>
      </c>
      <c r="H421" s="1" t="s">
        <v>31</v>
      </c>
      <c r="I421" s="1">
        <v>1</v>
      </c>
      <c r="J421" s="4">
        <v>22661000</v>
      </c>
      <c r="K421" s="4">
        <v>20422000</v>
      </c>
      <c r="L421" s="4">
        <v>2239000</v>
      </c>
      <c r="M421" s="1" t="s">
        <v>20</v>
      </c>
    </row>
    <row r="422" spans="1:13">
      <c r="A422" s="1" t="s">
        <v>657</v>
      </c>
      <c r="B422" s="3">
        <v>45989</v>
      </c>
      <c r="C422" s="1" t="s">
        <v>557</v>
      </c>
      <c r="D422" s="1" t="s">
        <v>23</v>
      </c>
      <c r="E422" s="1" t="s">
        <v>57</v>
      </c>
      <c r="F422" s="1" t="s">
        <v>29</v>
      </c>
      <c r="G422" s="1" t="s">
        <v>49</v>
      </c>
      <c r="H422" s="1" t="s">
        <v>25</v>
      </c>
      <c r="I422" s="1">
        <v>1</v>
      </c>
      <c r="J422" s="4">
        <v>36806000</v>
      </c>
      <c r="K422" s="4">
        <v>34746000</v>
      </c>
      <c r="L422" s="4">
        <v>2060000</v>
      </c>
      <c r="M422" s="1" t="s">
        <v>20</v>
      </c>
    </row>
    <row r="423" spans="1:13">
      <c r="A423" s="1" t="s">
        <v>658</v>
      </c>
      <c r="B423" s="3">
        <v>45871</v>
      </c>
      <c r="C423" s="1" t="s">
        <v>93</v>
      </c>
      <c r="D423" s="1" t="s">
        <v>15</v>
      </c>
      <c r="E423" s="1" t="s">
        <v>64</v>
      </c>
      <c r="F423" s="1" t="s">
        <v>29</v>
      </c>
      <c r="G423" s="1" t="s">
        <v>49</v>
      </c>
      <c r="H423" s="1" t="s">
        <v>31</v>
      </c>
      <c r="I423" s="1">
        <v>1</v>
      </c>
      <c r="J423" s="4">
        <v>22259000</v>
      </c>
      <c r="K423" s="4">
        <v>17409000</v>
      </c>
      <c r="L423" s="4">
        <v>4850000</v>
      </c>
      <c r="M423" s="1" t="s">
        <v>20</v>
      </c>
    </row>
    <row r="424" spans="1:13">
      <c r="A424" s="1" t="s">
        <v>659</v>
      </c>
      <c r="B424" s="3">
        <v>45982</v>
      </c>
      <c r="C424" s="1" t="s">
        <v>386</v>
      </c>
      <c r="D424" s="1" t="s">
        <v>15</v>
      </c>
      <c r="E424" s="1" t="s">
        <v>40</v>
      </c>
      <c r="F424" s="1" t="s">
        <v>29</v>
      </c>
      <c r="G424" s="1" t="s">
        <v>30</v>
      </c>
      <c r="H424" s="1" t="s">
        <v>110</v>
      </c>
      <c r="I424" s="1">
        <v>1</v>
      </c>
      <c r="J424" s="4">
        <v>19898000</v>
      </c>
      <c r="K424" s="4">
        <v>20005000</v>
      </c>
      <c r="L424" s="4">
        <v>-107000</v>
      </c>
      <c r="M424" s="1" t="s">
        <v>20</v>
      </c>
    </row>
    <row r="425" spans="1:13">
      <c r="A425" s="1" t="s">
        <v>660</v>
      </c>
      <c r="B425" s="3">
        <v>45887</v>
      </c>
      <c r="C425" s="1" t="s">
        <v>161</v>
      </c>
      <c r="D425" s="1" t="s">
        <v>15</v>
      </c>
      <c r="E425" s="1" t="s">
        <v>16</v>
      </c>
      <c r="F425" s="1" t="s">
        <v>17</v>
      </c>
      <c r="G425" s="1" t="s">
        <v>41</v>
      </c>
      <c r="H425" s="1" t="s">
        <v>19</v>
      </c>
      <c r="I425" s="1">
        <v>1</v>
      </c>
      <c r="J425" s="4">
        <v>17327000</v>
      </c>
      <c r="K425" s="4">
        <v>14520000</v>
      </c>
      <c r="L425" s="4">
        <v>2807000</v>
      </c>
      <c r="M425" s="1" t="s">
        <v>20</v>
      </c>
    </row>
    <row r="426" spans="1:13">
      <c r="A426" s="1" t="s">
        <v>661</v>
      </c>
      <c r="B426" s="3">
        <v>45793</v>
      </c>
      <c r="C426" s="1" t="s">
        <v>352</v>
      </c>
      <c r="D426" s="1" t="s">
        <v>15</v>
      </c>
      <c r="E426" s="1" t="s">
        <v>16</v>
      </c>
      <c r="F426" s="1" t="s">
        <v>17</v>
      </c>
      <c r="G426" s="1" t="s">
        <v>41</v>
      </c>
      <c r="H426" s="1" t="s">
        <v>19</v>
      </c>
      <c r="I426" s="1">
        <v>1</v>
      </c>
      <c r="J426" s="4">
        <v>17694000</v>
      </c>
      <c r="K426" s="4">
        <v>14804000</v>
      </c>
      <c r="L426" s="4">
        <v>2890000</v>
      </c>
      <c r="M426" s="1" t="s">
        <v>20</v>
      </c>
    </row>
    <row r="427" spans="1:13">
      <c r="A427" s="1" t="s">
        <v>662</v>
      </c>
      <c r="B427" s="3">
        <v>45684</v>
      </c>
      <c r="C427" s="1" t="s">
        <v>425</v>
      </c>
      <c r="D427" s="1" t="s">
        <v>15</v>
      </c>
      <c r="E427" s="1" t="s">
        <v>40</v>
      </c>
      <c r="F427" s="1" t="s">
        <v>29</v>
      </c>
      <c r="G427" s="1" t="s">
        <v>41</v>
      </c>
      <c r="H427" s="1" t="s">
        <v>19</v>
      </c>
      <c r="I427" s="1">
        <v>2</v>
      </c>
      <c r="J427" s="4">
        <v>46999000</v>
      </c>
      <c r="K427" s="4">
        <v>40748000</v>
      </c>
      <c r="L427" s="4">
        <v>6251000</v>
      </c>
      <c r="M427" s="1" t="s">
        <v>20</v>
      </c>
    </row>
    <row r="428" spans="1:13">
      <c r="A428" s="1" t="s">
        <v>663</v>
      </c>
      <c r="B428" s="3">
        <v>45770</v>
      </c>
      <c r="C428" s="1" t="s">
        <v>315</v>
      </c>
      <c r="D428" s="1" t="s">
        <v>23</v>
      </c>
      <c r="E428" s="1" t="s">
        <v>64</v>
      </c>
      <c r="F428" s="1" t="s">
        <v>29</v>
      </c>
      <c r="G428" s="1" t="s">
        <v>30</v>
      </c>
      <c r="H428" s="1" t="s">
        <v>31</v>
      </c>
      <c r="I428" s="1">
        <v>1</v>
      </c>
      <c r="J428" s="4">
        <v>21136000</v>
      </c>
      <c r="K428" s="4">
        <v>18379000</v>
      </c>
      <c r="L428" s="4">
        <v>2757000</v>
      </c>
      <c r="M428" s="1" t="s">
        <v>20</v>
      </c>
    </row>
    <row r="429" spans="1:13">
      <c r="A429" s="1" t="s">
        <v>664</v>
      </c>
      <c r="B429" s="3">
        <v>45997</v>
      </c>
      <c r="C429" s="1" t="s">
        <v>210</v>
      </c>
      <c r="D429" s="1" t="s">
        <v>23</v>
      </c>
      <c r="E429" s="1" t="s">
        <v>44</v>
      </c>
      <c r="F429" s="1" t="s">
        <v>17</v>
      </c>
      <c r="G429" s="1" t="s">
        <v>18</v>
      </c>
      <c r="H429" s="1" t="s">
        <v>34</v>
      </c>
      <c r="I429" s="1">
        <v>1</v>
      </c>
      <c r="J429" s="4">
        <v>27503000</v>
      </c>
      <c r="K429" s="4">
        <v>21866000</v>
      </c>
      <c r="L429" s="4">
        <v>5637000</v>
      </c>
      <c r="M429" s="1" t="s">
        <v>69</v>
      </c>
    </row>
    <row r="430" spans="1:13">
      <c r="A430" s="1" t="s">
        <v>665</v>
      </c>
      <c r="B430" s="3">
        <v>46000</v>
      </c>
      <c r="C430" s="1" t="s">
        <v>247</v>
      </c>
      <c r="D430" s="1" t="s">
        <v>23</v>
      </c>
      <c r="E430" s="1" t="s">
        <v>44</v>
      </c>
      <c r="F430" s="1" t="s">
        <v>17</v>
      </c>
      <c r="G430" s="1" t="s">
        <v>41</v>
      </c>
      <c r="H430" s="1" t="s">
        <v>25</v>
      </c>
      <c r="I430" s="1">
        <v>1</v>
      </c>
      <c r="J430" s="4">
        <v>28075000</v>
      </c>
      <c r="K430" s="4">
        <v>21242000</v>
      </c>
      <c r="L430" s="4">
        <v>6833000</v>
      </c>
      <c r="M430" s="1" t="s">
        <v>20</v>
      </c>
    </row>
    <row r="431" spans="1:13">
      <c r="A431" s="1" t="s">
        <v>666</v>
      </c>
      <c r="B431" s="3">
        <v>45716</v>
      </c>
      <c r="C431" s="1" t="s">
        <v>541</v>
      </c>
      <c r="D431" s="1" t="s">
        <v>23</v>
      </c>
      <c r="E431" s="1" t="s">
        <v>44</v>
      </c>
      <c r="F431" s="1" t="s">
        <v>17</v>
      </c>
      <c r="G431" s="1" t="s">
        <v>24</v>
      </c>
      <c r="H431" s="1" t="s">
        <v>25</v>
      </c>
      <c r="I431" s="1">
        <v>1</v>
      </c>
      <c r="J431" s="4">
        <v>28050000</v>
      </c>
      <c r="K431" s="4">
        <v>22502000</v>
      </c>
      <c r="L431" s="4">
        <v>5548000</v>
      </c>
      <c r="M431" s="1" t="s">
        <v>20</v>
      </c>
    </row>
    <row r="432" spans="1:13">
      <c r="A432" s="1" t="s">
        <v>667</v>
      </c>
      <c r="B432" s="3">
        <v>45907</v>
      </c>
      <c r="C432" s="1" t="s">
        <v>668</v>
      </c>
      <c r="D432" s="1" t="s">
        <v>15</v>
      </c>
      <c r="E432" s="1" t="s">
        <v>16</v>
      </c>
      <c r="F432" s="1" t="s">
        <v>17</v>
      </c>
      <c r="G432" s="1" t="s">
        <v>24</v>
      </c>
      <c r="H432" s="1" t="s">
        <v>19</v>
      </c>
      <c r="I432" s="1">
        <v>1</v>
      </c>
      <c r="J432" s="4">
        <v>18123000</v>
      </c>
      <c r="K432" s="4">
        <v>15150000</v>
      </c>
      <c r="L432" s="4">
        <v>2973000</v>
      </c>
      <c r="M432" s="1" t="s">
        <v>20</v>
      </c>
    </row>
    <row r="433" spans="1:13">
      <c r="A433" s="1" t="s">
        <v>669</v>
      </c>
      <c r="B433" s="3">
        <v>45661</v>
      </c>
      <c r="C433" s="1" t="s">
        <v>103</v>
      </c>
      <c r="D433" s="1" t="s">
        <v>23</v>
      </c>
      <c r="E433" s="1" t="s">
        <v>57</v>
      </c>
      <c r="F433" s="1" t="s">
        <v>29</v>
      </c>
      <c r="G433" s="1" t="s">
        <v>24</v>
      </c>
      <c r="H433" s="1" t="s">
        <v>37</v>
      </c>
      <c r="I433" s="1">
        <v>1</v>
      </c>
      <c r="J433" s="4">
        <v>41612000</v>
      </c>
      <c r="K433" s="4">
        <v>36158000</v>
      </c>
      <c r="L433" s="4">
        <v>5454000</v>
      </c>
      <c r="M433" s="1" t="s">
        <v>20</v>
      </c>
    </row>
    <row r="434" spans="1:13">
      <c r="A434" s="1" t="s">
        <v>670</v>
      </c>
      <c r="B434" s="3">
        <v>45880</v>
      </c>
      <c r="C434" s="1" t="s">
        <v>200</v>
      </c>
      <c r="D434" s="1" t="s">
        <v>15</v>
      </c>
      <c r="E434" s="1" t="s">
        <v>60</v>
      </c>
      <c r="F434" s="1" t="s">
        <v>61</v>
      </c>
      <c r="G434" s="1" t="s">
        <v>18</v>
      </c>
      <c r="H434" s="1" t="s">
        <v>34</v>
      </c>
      <c r="I434" s="1">
        <v>1</v>
      </c>
      <c r="J434" s="4">
        <v>58559000</v>
      </c>
      <c r="K434" s="4">
        <v>50294000</v>
      </c>
      <c r="L434" s="4">
        <v>8265000</v>
      </c>
      <c r="M434" s="1" t="s">
        <v>20</v>
      </c>
    </row>
    <row r="435" spans="1:13">
      <c r="A435" s="1" t="s">
        <v>671</v>
      </c>
      <c r="B435" s="3">
        <v>45749</v>
      </c>
      <c r="C435" s="1" t="s">
        <v>616</v>
      </c>
      <c r="D435" s="1" t="s">
        <v>15</v>
      </c>
      <c r="E435" s="1" t="s">
        <v>40</v>
      </c>
      <c r="F435" s="1" t="s">
        <v>29</v>
      </c>
      <c r="G435" s="1" t="s">
        <v>49</v>
      </c>
      <c r="H435" s="1" t="s">
        <v>25</v>
      </c>
      <c r="I435" s="1">
        <v>1</v>
      </c>
      <c r="J435" s="4">
        <v>23270000</v>
      </c>
      <c r="K435" s="4">
        <v>19322000</v>
      </c>
      <c r="L435" s="4">
        <v>3948000</v>
      </c>
      <c r="M435" s="1" t="s">
        <v>20</v>
      </c>
    </row>
    <row r="436" spans="1:13">
      <c r="A436" s="1" t="s">
        <v>672</v>
      </c>
      <c r="B436" s="3">
        <v>45819</v>
      </c>
      <c r="C436" s="1" t="s">
        <v>673</v>
      </c>
      <c r="D436" s="1" t="s">
        <v>15</v>
      </c>
      <c r="E436" s="1" t="s">
        <v>16</v>
      </c>
      <c r="F436" s="1" t="s">
        <v>17</v>
      </c>
      <c r="G436" s="1" t="s">
        <v>18</v>
      </c>
      <c r="H436" s="1" t="s">
        <v>37</v>
      </c>
      <c r="I436" s="1">
        <v>1</v>
      </c>
      <c r="J436" s="4">
        <v>13263000</v>
      </c>
      <c r="K436" s="4">
        <v>14672000</v>
      </c>
      <c r="L436" s="4">
        <v>-1409000</v>
      </c>
      <c r="M436" s="1" t="s">
        <v>20</v>
      </c>
    </row>
    <row r="437" spans="1:13">
      <c r="A437" s="1" t="s">
        <v>674</v>
      </c>
      <c r="B437" s="3">
        <v>45695</v>
      </c>
      <c r="C437" s="1" t="s">
        <v>557</v>
      </c>
      <c r="D437" s="1" t="s">
        <v>23</v>
      </c>
      <c r="E437" s="1" t="s">
        <v>44</v>
      </c>
      <c r="F437" s="1" t="s">
        <v>17</v>
      </c>
      <c r="G437" s="1" t="s">
        <v>49</v>
      </c>
      <c r="H437" s="1" t="s">
        <v>25</v>
      </c>
      <c r="I437" s="1">
        <v>1</v>
      </c>
      <c r="J437" s="4">
        <v>27273000</v>
      </c>
      <c r="K437" s="4">
        <v>22032000</v>
      </c>
      <c r="L437" s="4">
        <v>5241000</v>
      </c>
      <c r="M437" s="1" t="s">
        <v>20</v>
      </c>
    </row>
    <row r="438" spans="1:13">
      <c r="A438" s="1" t="s">
        <v>675</v>
      </c>
      <c r="B438" s="3">
        <v>45860</v>
      </c>
      <c r="C438" s="1" t="s">
        <v>676</v>
      </c>
      <c r="D438" s="1" t="s">
        <v>23</v>
      </c>
      <c r="E438" s="1" t="s">
        <v>40</v>
      </c>
      <c r="F438" s="1" t="s">
        <v>29</v>
      </c>
      <c r="G438" s="1" t="s">
        <v>24</v>
      </c>
      <c r="H438" s="1" t="s">
        <v>110</v>
      </c>
      <c r="I438" s="1">
        <v>1</v>
      </c>
      <c r="J438" s="4">
        <v>23246000</v>
      </c>
      <c r="K438" s="4">
        <v>20289000</v>
      </c>
      <c r="L438" s="4">
        <v>2957000</v>
      </c>
      <c r="M438" s="1" t="s">
        <v>20</v>
      </c>
    </row>
    <row r="439" spans="1:13">
      <c r="A439" s="1" t="s">
        <v>677</v>
      </c>
      <c r="B439" s="3">
        <v>45982</v>
      </c>
      <c r="C439" s="1" t="s">
        <v>491</v>
      </c>
      <c r="D439" s="1" t="s">
        <v>15</v>
      </c>
      <c r="E439" s="1" t="s">
        <v>16</v>
      </c>
      <c r="F439" s="1" t="s">
        <v>17</v>
      </c>
      <c r="G439" s="1" t="s">
        <v>18</v>
      </c>
      <c r="H439" s="1" t="s">
        <v>19</v>
      </c>
      <c r="I439" s="1">
        <v>2</v>
      </c>
      <c r="J439" s="4">
        <v>30800000</v>
      </c>
      <c r="K439" s="4">
        <v>29665000</v>
      </c>
      <c r="L439" s="4">
        <v>1135000</v>
      </c>
      <c r="M439" s="1" t="s">
        <v>20</v>
      </c>
    </row>
    <row r="440" spans="1:13">
      <c r="A440" s="1" t="s">
        <v>678</v>
      </c>
      <c r="B440" s="3">
        <v>45942</v>
      </c>
      <c r="C440" s="1" t="s">
        <v>679</v>
      </c>
      <c r="D440" s="1" t="s">
        <v>23</v>
      </c>
      <c r="E440" s="1" t="s">
        <v>16</v>
      </c>
      <c r="F440" s="1" t="s">
        <v>17</v>
      </c>
      <c r="G440" s="1" t="s">
        <v>41</v>
      </c>
      <c r="H440" s="1" t="s">
        <v>31</v>
      </c>
      <c r="I440" s="1">
        <v>1</v>
      </c>
      <c r="J440" s="4">
        <v>17842000</v>
      </c>
      <c r="K440" s="4">
        <v>14569000</v>
      </c>
      <c r="L440" s="4">
        <v>3273000</v>
      </c>
      <c r="M440" s="1" t="s">
        <v>20</v>
      </c>
    </row>
    <row r="441" spans="1:13">
      <c r="A441" s="1" t="s">
        <v>680</v>
      </c>
      <c r="B441" s="3">
        <v>45869</v>
      </c>
      <c r="C441" s="1" t="s">
        <v>121</v>
      </c>
      <c r="D441" s="1" t="s">
        <v>15</v>
      </c>
      <c r="E441" s="1" t="s">
        <v>64</v>
      </c>
      <c r="F441" s="1" t="s">
        <v>29</v>
      </c>
      <c r="G441" s="1" t="s">
        <v>30</v>
      </c>
      <c r="H441" s="1" t="s">
        <v>37</v>
      </c>
      <c r="I441" s="1">
        <v>1</v>
      </c>
      <c r="J441" s="4">
        <v>21206000</v>
      </c>
      <c r="K441" s="4">
        <v>18514000</v>
      </c>
      <c r="L441" s="4">
        <v>2692000</v>
      </c>
      <c r="M441" s="1" t="s">
        <v>20</v>
      </c>
    </row>
    <row r="442" spans="1:13">
      <c r="A442" s="1" t="s">
        <v>681</v>
      </c>
      <c r="B442" s="3">
        <v>45948</v>
      </c>
      <c r="C442" s="1" t="s">
        <v>187</v>
      </c>
      <c r="D442" s="1" t="s">
        <v>15</v>
      </c>
      <c r="E442" s="1" t="s">
        <v>64</v>
      </c>
      <c r="F442" s="1" t="s">
        <v>29</v>
      </c>
      <c r="G442" s="1" t="s">
        <v>18</v>
      </c>
      <c r="H442" s="1" t="s">
        <v>110</v>
      </c>
      <c r="I442" s="1">
        <v>2</v>
      </c>
      <c r="J442" s="4">
        <v>47047000</v>
      </c>
      <c r="K442" s="4">
        <v>36458000</v>
      </c>
      <c r="L442" s="4">
        <v>10589000</v>
      </c>
      <c r="M442" s="1" t="s">
        <v>20</v>
      </c>
    </row>
    <row r="443" spans="1:13">
      <c r="A443" s="1" t="s">
        <v>682</v>
      </c>
      <c r="B443" s="3">
        <v>45708</v>
      </c>
      <c r="C443" s="1" t="s">
        <v>302</v>
      </c>
      <c r="D443" s="1" t="s">
        <v>15</v>
      </c>
      <c r="E443" s="1" t="s">
        <v>54</v>
      </c>
      <c r="F443" s="1" t="s">
        <v>17</v>
      </c>
      <c r="G443" s="1" t="s">
        <v>24</v>
      </c>
      <c r="H443" s="1" t="s">
        <v>34</v>
      </c>
      <c r="I443" s="1">
        <v>2</v>
      </c>
      <c r="J443" s="4">
        <v>56226000</v>
      </c>
      <c r="K443" s="4">
        <v>47195000</v>
      </c>
      <c r="L443" s="4">
        <v>9031000</v>
      </c>
      <c r="M443" s="1" t="s">
        <v>20</v>
      </c>
    </row>
    <row r="444" spans="1:13">
      <c r="A444" s="1" t="s">
        <v>683</v>
      </c>
      <c r="B444" s="3">
        <v>45757</v>
      </c>
      <c r="C444" s="1" t="s">
        <v>613</v>
      </c>
      <c r="D444" s="1" t="s">
        <v>23</v>
      </c>
      <c r="E444" s="1" t="s">
        <v>44</v>
      </c>
      <c r="F444" s="1" t="s">
        <v>17</v>
      </c>
      <c r="G444" s="1" t="s">
        <v>41</v>
      </c>
      <c r="H444" s="1" t="s">
        <v>25</v>
      </c>
      <c r="I444" s="1">
        <v>1</v>
      </c>
      <c r="J444" s="4">
        <v>25963000</v>
      </c>
      <c r="K444" s="4">
        <v>21983000</v>
      </c>
      <c r="L444" s="4">
        <v>3980000</v>
      </c>
      <c r="M444" s="1" t="s">
        <v>20</v>
      </c>
    </row>
    <row r="445" spans="1:13">
      <c r="A445" s="1" t="s">
        <v>684</v>
      </c>
      <c r="B445" s="3">
        <v>45744</v>
      </c>
      <c r="C445" s="1" t="s">
        <v>392</v>
      </c>
      <c r="D445" s="1" t="s">
        <v>23</v>
      </c>
      <c r="E445" s="1" t="s">
        <v>16</v>
      </c>
      <c r="F445" s="1" t="s">
        <v>17</v>
      </c>
      <c r="G445" s="1" t="s">
        <v>41</v>
      </c>
      <c r="H445" s="1" t="s">
        <v>25</v>
      </c>
      <c r="I445" s="1">
        <v>1</v>
      </c>
      <c r="J445" s="4">
        <v>18651000</v>
      </c>
      <c r="K445" s="4">
        <v>14407000</v>
      </c>
      <c r="L445" s="4">
        <v>4244000</v>
      </c>
      <c r="M445" s="1" t="s">
        <v>20</v>
      </c>
    </row>
    <row r="446" spans="1:13">
      <c r="A446" s="1" t="s">
        <v>685</v>
      </c>
      <c r="B446" s="3">
        <v>45894</v>
      </c>
      <c r="C446" s="1" t="s">
        <v>27</v>
      </c>
      <c r="D446" s="1" t="s">
        <v>15</v>
      </c>
      <c r="E446" s="1" t="s">
        <v>44</v>
      </c>
      <c r="F446" s="1" t="s">
        <v>17</v>
      </c>
      <c r="G446" s="1" t="s">
        <v>30</v>
      </c>
      <c r="H446" s="1" t="s">
        <v>19</v>
      </c>
      <c r="I446" s="1">
        <v>1</v>
      </c>
      <c r="J446" s="4">
        <v>25285000</v>
      </c>
      <c r="K446" s="4">
        <v>22117000</v>
      </c>
      <c r="L446" s="4">
        <v>3168000</v>
      </c>
      <c r="M446" s="1" t="s">
        <v>20</v>
      </c>
    </row>
    <row r="447" spans="1:13">
      <c r="A447" s="1" t="s">
        <v>686</v>
      </c>
      <c r="B447" s="3">
        <v>45758</v>
      </c>
      <c r="C447" s="1" t="s">
        <v>147</v>
      </c>
      <c r="D447" s="1" t="s">
        <v>15</v>
      </c>
      <c r="E447" s="1" t="s">
        <v>54</v>
      </c>
      <c r="F447" s="1" t="s">
        <v>17</v>
      </c>
      <c r="G447" s="1" t="s">
        <v>24</v>
      </c>
      <c r="H447" s="1" t="s">
        <v>19</v>
      </c>
      <c r="I447" s="1">
        <v>1</v>
      </c>
      <c r="J447" s="4">
        <v>27069000</v>
      </c>
      <c r="K447" s="4">
        <v>22083000</v>
      </c>
      <c r="L447" s="4">
        <v>4986000</v>
      </c>
      <c r="M447" s="1" t="s">
        <v>20</v>
      </c>
    </row>
    <row r="448" spans="1:13">
      <c r="A448" s="1" t="s">
        <v>687</v>
      </c>
      <c r="B448" s="3">
        <v>45865</v>
      </c>
      <c r="C448" s="1" t="s">
        <v>129</v>
      </c>
      <c r="D448" s="1" t="s">
        <v>23</v>
      </c>
      <c r="E448" s="1" t="s">
        <v>40</v>
      </c>
      <c r="F448" s="1" t="s">
        <v>29</v>
      </c>
      <c r="G448" s="1" t="s">
        <v>30</v>
      </c>
      <c r="H448" s="1" t="s">
        <v>110</v>
      </c>
      <c r="I448" s="1">
        <v>1</v>
      </c>
      <c r="J448" s="4">
        <v>23373000</v>
      </c>
      <c r="K448" s="4">
        <v>20580000</v>
      </c>
      <c r="L448" s="4">
        <v>2793000</v>
      </c>
      <c r="M448" s="1" t="s">
        <v>20</v>
      </c>
    </row>
    <row r="449" spans="1:13">
      <c r="A449" s="1" t="s">
        <v>688</v>
      </c>
      <c r="B449" s="3">
        <v>45858</v>
      </c>
      <c r="C449" s="1" t="s">
        <v>95</v>
      </c>
      <c r="D449" s="1" t="s">
        <v>15</v>
      </c>
      <c r="E449" s="1" t="s">
        <v>54</v>
      </c>
      <c r="F449" s="1" t="s">
        <v>17</v>
      </c>
      <c r="G449" s="1" t="s">
        <v>41</v>
      </c>
      <c r="H449" s="1" t="s">
        <v>19</v>
      </c>
      <c r="I449" s="1">
        <v>1</v>
      </c>
      <c r="J449" s="4">
        <v>27868000</v>
      </c>
      <c r="K449" s="4">
        <v>23118000</v>
      </c>
      <c r="L449" s="4">
        <v>4750000</v>
      </c>
      <c r="M449" s="1" t="s">
        <v>20</v>
      </c>
    </row>
    <row r="450" spans="1:13">
      <c r="A450" s="1" t="s">
        <v>689</v>
      </c>
      <c r="B450" s="3">
        <v>45663</v>
      </c>
      <c r="C450" s="1" t="s">
        <v>397</v>
      </c>
      <c r="D450" s="1" t="s">
        <v>15</v>
      </c>
      <c r="E450" s="1" t="s">
        <v>60</v>
      </c>
      <c r="F450" s="1" t="s">
        <v>61</v>
      </c>
      <c r="G450" s="1" t="s">
        <v>30</v>
      </c>
      <c r="H450" s="1" t="s">
        <v>31</v>
      </c>
      <c r="I450" s="1">
        <v>1</v>
      </c>
      <c r="J450" s="4">
        <v>62209000</v>
      </c>
      <c r="K450" s="4">
        <v>48813000</v>
      </c>
      <c r="L450" s="4">
        <v>13396000</v>
      </c>
      <c r="M450" s="1" t="s">
        <v>20</v>
      </c>
    </row>
    <row r="451" spans="1:13">
      <c r="A451" s="1" t="s">
        <v>690</v>
      </c>
      <c r="B451" s="3">
        <v>45947</v>
      </c>
      <c r="C451" s="1" t="s">
        <v>469</v>
      </c>
      <c r="D451" s="1" t="s">
        <v>15</v>
      </c>
      <c r="E451" s="1" t="s">
        <v>64</v>
      </c>
      <c r="F451" s="1" t="s">
        <v>29</v>
      </c>
      <c r="G451" s="1" t="s">
        <v>49</v>
      </c>
      <c r="H451" s="1" t="s">
        <v>31</v>
      </c>
      <c r="I451" s="1">
        <v>2</v>
      </c>
      <c r="J451" s="4">
        <v>45569000</v>
      </c>
      <c r="K451" s="4">
        <v>36540000</v>
      </c>
      <c r="L451" s="4">
        <v>9029000</v>
      </c>
      <c r="M451" s="1" t="s">
        <v>20</v>
      </c>
    </row>
    <row r="452" spans="1:13">
      <c r="A452" s="1" t="s">
        <v>691</v>
      </c>
      <c r="B452" s="3">
        <v>45690</v>
      </c>
      <c r="C452" s="1" t="s">
        <v>579</v>
      </c>
      <c r="D452" s="1" t="s">
        <v>23</v>
      </c>
      <c r="E452" s="1" t="s">
        <v>54</v>
      </c>
      <c r="F452" s="1" t="s">
        <v>17</v>
      </c>
      <c r="G452" s="1" t="s">
        <v>49</v>
      </c>
      <c r="H452" s="1" t="s">
        <v>34</v>
      </c>
      <c r="I452" s="1">
        <v>1</v>
      </c>
      <c r="J452" s="4">
        <v>28709000</v>
      </c>
      <c r="K452" s="4">
        <v>23876000</v>
      </c>
      <c r="L452" s="4">
        <v>4833000</v>
      </c>
      <c r="M452" s="1" t="s">
        <v>20</v>
      </c>
    </row>
    <row r="453" spans="1:13">
      <c r="A453" s="1" t="s">
        <v>692</v>
      </c>
      <c r="B453" s="3">
        <v>45678</v>
      </c>
      <c r="C453" s="1" t="s">
        <v>693</v>
      </c>
      <c r="D453" s="1" t="s">
        <v>23</v>
      </c>
      <c r="E453" s="1" t="s">
        <v>64</v>
      </c>
      <c r="F453" s="1" t="s">
        <v>29</v>
      </c>
      <c r="G453" s="1" t="s">
        <v>24</v>
      </c>
      <c r="H453" s="1" t="s">
        <v>19</v>
      </c>
      <c r="I453" s="1">
        <v>1</v>
      </c>
      <c r="J453" s="4">
        <v>22171000</v>
      </c>
      <c r="K453" s="4">
        <v>18903000</v>
      </c>
      <c r="L453" s="4">
        <v>3268000</v>
      </c>
      <c r="M453" s="1" t="s">
        <v>20</v>
      </c>
    </row>
    <row r="454" spans="1:13">
      <c r="A454" s="1" t="s">
        <v>694</v>
      </c>
      <c r="B454" s="3">
        <v>45949</v>
      </c>
      <c r="C454" s="1" t="s">
        <v>695</v>
      </c>
      <c r="D454" s="1" t="s">
        <v>15</v>
      </c>
      <c r="E454" s="1" t="s">
        <v>16</v>
      </c>
      <c r="F454" s="1" t="s">
        <v>17</v>
      </c>
      <c r="G454" s="1" t="s">
        <v>30</v>
      </c>
      <c r="H454" s="1" t="s">
        <v>19</v>
      </c>
      <c r="I454" s="1">
        <v>1</v>
      </c>
      <c r="J454" s="4">
        <v>18449000</v>
      </c>
      <c r="K454" s="4">
        <v>14986000</v>
      </c>
      <c r="L454" s="4">
        <v>3463000</v>
      </c>
      <c r="M454" s="1" t="s">
        <v>20</v>
      </c>
    </row>
    <row r="455" spans="1:13">
      <c r="A455" s="1" t="s">
        <v>696</v>
      </c>
      <c r="B455" s="3">
        <v>45865</v>
      </c>
      <c r="C455" s="1" t="s">
        <v>143</v>
      </c>
      <c r="D455" s="1" t="s">
        <v>15</v>
      </c>
      <c r="E455" s="1" t="s">
        <v>44</v>
      </c>
      <c r="F455" s="1" t="s">
        <v>17</v>
      </c>
      <c r="G455" s="1" t="s">
        <v>49</v>
      </c>
      <c r="H455" s="1" t="s">
        <v>31</v>
      </c>
      <c r="I455" s="1">
        <v>1</v>
      </c>
      <c r="J455" s="4">
        <v>26571000</v>
      </c>
      <c r="K455" s="4">
        <v>22027000</v>
      </c>
      <c r="L455" s="4">
        <v>4544000</v>
      </c>
      <c r="M455" s="1" t="s">
        <v>20</v>
      </c>
    </row>
    <row r="456" spans="1:13">
      <c r="A456" s="1" t="s">
        <v>697</v>
      </c>
      <c r="B456" s="3">
        <v>45775</v>
      </c>
      <c r="C456" s="1" t="s">
        <v>73</v>
      </c>
      <c r="D456" s="1" t="s">
        <v>15</v>
      </c>
      <c r="E456" s="1" t="s">
        <v>16</v>
      </c>
      <c r="F456" s="1" t="s">
        <v>17</v>
      </c>
      <c r="G456" s="1" t="s">
        <v>30</v>
      </c>
      <c r="H456" s="1" t="s">
        <v>25</v>
      </c>
      <c r="I456" s="1">
        <v>1</v>
      </c>
      <c r="J456" s="4">
        <v>17357000</v>
      </c>
      <c r="K456" s="4">
        <v>14300000</v>
      </c>
      <c r="L456" s="4">
        <v>3057000</v>
      </c>
      <c r="M456" s="1" t="s">
        <v>20</v>
      </c>
    </row>
    <row r="457" spans="1:13">
      <c r="A457" s="1" t="s">
        <v>698</v>
      </c>
      <c r="B457" s="3">
        <v>45827</v>
      </c>
      <c r="C457" s="1" t="s">
        <v>229</v>
      </c>
      <c r="D457" s="1" t="s">
        <v>23</v>
      </c>
      <c r="E457" s="1" t="s">
        <v>40</v>
      </c>
      <c r="F457" s="1" t="s">
        <v>29</v>
      </c>
      <c r="G457" s="1" t="s">
        <v>30</v>
      </c>
      <c r="H457" s="1" t="s">
        <v>34</v>
      </c>
      <c r="I457" s="1">
        <v>1</v>
      </c>
      <c r="J457" s="4">
        <v>16717000</v>
      </c>
      <c r="K457" s="4">
        <v>19129000</v>
      </c>
      <c r="L457" s="4">
        <v>-2412000</v>
      </c>
      <c r="M457" s="1" t="s">
        <v>20</v>
      </c>
    </row>
    <row r="458" spans="1:13">
      <c r="A458" s="1" t="s">
        <v>699</v>
      </c>
      <c r="B458" s="3">
        <v>45723</v>
      </c>
      <c r="C458" s="1" t="s">
        <v>119</v>
      </c>
      <c r="D458" s="1" t="s">
        <v>23</v>
      </c>
      <c r="E458" s="1" t="s">
        <v>57</v>
      </c>
      <c r="F458" s="1" t="s">
        <v>29</v>
      </c>
      <c r="G458" s="1" t="s">
        <v>30</v>
      </c>
      <c r="H458" s="1" t="s">
        <v>19</v>
      </c>
      <c r="I458" s="1">
        <v>1</v>
      </c>
      <c r="J458" s="4">
        <v>40639000</v>
      </c>
      <c r="K458" s="4">
        <v>35757000</v>
      </c>
      <c r="L458" s="4">
        <v>4882000</v>
      </c>
      <c r="M458" s="1" t="s">
        <v>20</v>
      </c>
    </row>
    <row r="459" spans="1:13">
      <c r="A459" s="1" t="s">
        <v>700</v>
      </c>
      <c r="B459" s="3">
        <v>45865</v>
      </c>
      <c r="C459" s="1" t="s">
        <v>68</v>
      </c>
      <c r="D459" s="1" t="s">
        <v>15</v>
      </c>
      <c r="E459" s="1" t="s">
        <v>57</v>
      </c>
      <c r="F459" s="1" t="s">
        <v>29</v>
      </c>
      <c r="G459" s="1" t="s">
        <v>30</v>
      </c>
      <c r="H459" s="1" t="s">
        <v>25</v>
      </c>
      <c r="I459" s="1">
        <v>1</v>
      </c>
      <c r="J459" s="4">
        <v>44442000</v>
      </c>
      <c r="K459" s="4">
        <v>36074000</v>
      </c>
      <c r="L459" s="4">
        <v>8368000</v>
      </c>
      <c r="M459" s="1" t="s">
        <v>20</v>
      </c>
    </row>
    <row r="460" spans="1:13">
      <c r="A460" s="1" t="s">
        <v>701</v>
      </c>
      <c r="B460" s="3">
        <v>45968</v>
      </c>
      <c r="C460" s="1" t="s">
        <v>210</v>
      </c>
      <c r="D460" s="1" t="s">
        <v>15</v>
      </c>
      <c r="E460" s="1" t="s">
        <v>64</v>
      </c>
      <c r="F460" s="1" t="s">
        <v>29</v>
      </c>
      <c r="G460" s="1" t="s">
        <v>30</v>
      </c>
      <c r="H460" s="1" t="s">
        <v>19</v>
      </c>
      <c r="I460" s="1">
        <v>1</v>
      </c>
      <c r="J460" s="4">
        <v>18905000</v>
      </c>
      <c r="K460" s="4">
        <v>18485000</v>
      </c>
      <c r="L460" s="4">
        <v>420000</v>
      </c>
      <c r="M460" s="1" t="s">
        <v>20</v>
      </c>
    </row>
    <row r="461" spans="1:13">
      <c r="A461" s="1" t="s">
        <v>702</v>
      </c>
      <c r="B461" s="3">
        <v>45995</v>
      </c>
      <c r="C461" s="1" t="s">
        <v>695</v>
      </c>
      <c r="D461" s="1" t="s">
        <v>23</v>
      </c>
      <c r="E461" s="1" t="s">
        <v>28</v>
      </c>
      <c r="F461" s="1" t="s">
        <v>29</v>
      </c>
      <c r="G461" s="1" t="s">
        <v>49</v>
      </c>
      <c r="H461" s="1" t="s">
        <v>31</v>
      </c>
      <c r="I461" s="1">
        <v>1</v>
      </c>
      <c r="J461" s="4">
        <v>55115000</v>
      </c>
      <c r="K461" s="4">
        <v>43920000</v>
      </c>
      <c r="L461" s="4">
        <v>11195000</v>
      </c>
      <c r="M461" s="1" t="s">
        <v>20</v>
      </c>
    </row>
    <row r="462" spans="1:13">
      <c r="A462" s="1" t="s">
        <v>703</v>
      </c>
      <c r="B462" s="3">
        <v>45713</v>
      </c>
      <c r="C462" s="1" t="s">
        <v>177</v>
      </c>
      <c r="D462" s="1" t="s">
        <v>23</v>
      </c>
      <c r="E462" s="1" t="s">
        <v>16</v>
      </c>
      <c r="F462" s="1" t="s">
        <v>17</v>
      </c>
      <c r="G462" s="1" t="s">
        <v>49</v>
      </c>
      <c r="H462" s="1" t="s">
        <v>19</v>
      </c>
      <c r="I462" s="1">
        <v>2</v>
      </c>
      <c r="J462" s="4">
        <v>37043000</v>
      </c>
      <c r="K462" s="4">
        <v>29947000</v>
      </c>
      <c r="L462" s="4">
        <v>7096000</v>
      </c>
      <c r="M462" s="1" t="s">
        <v>20</v>
      </c>
    </row>
    <row r="463" spans="1:13">
      <c r="A463" s="1" t="s">
        <v>704</v>
      </c>
      <c r="B463" s="3">
        <v>45965</v>
      </c>
      <c r="C463" s="1" t="s">
        <v>335</v>
      </c>
      <c r="D463" s="1" t="s">
        <v>15</v>
      </c>
      <c r="E463" s="1" t="s">
        <v>16</v>
      </c>
      <c r="F463" s="1" t="s">
        <v>17</v>
      </c>
      <c r="G463" s="1" t="s">
        <v>24</v>
      </c>
      <c r="H463" s="1" t="s">
        <v>34</v>
      </c>
      <c r="I463" s="1">
        <v>1</v>
      </c>
      <c r="J463" s="4">
        <v>14100000</v>
      </c>
      <c r="K463" s="4">
        <v>14474000</v>
      </c>
      <c r="L463" s="4">
        <v>-374000</v>
      </c>
      <c r="M463" s="1" t="s">
        <v>20</v>
      </c>
    </row>
    <row r="464" spans="1:13">
      <c r="A464" s="1" t="s">
        <v>705</v>
      </c>
      <c r="B464" s="3">
        <v>46005</v>
      </c>
      <c r="C464" s="1" t="s">
        <v>541</v>
      </c>
      <c r="D464" s="1" t="s">
        <v>23</v>
      </c>
      <c r="E464" s="1" t="s">
        <v>60</v>
      </c>
      <c r="F464" s="1" t="s">
        <v>61</v>
      </c>
      <c r="G464" s="1" t="s">
        <v>49</v>
      </c>
      <c r="H464" s="1" t="s">
        <v>25</v>
      </c>
      <c r="I464" s="1">
        <v>1</v>
      </c>
      <c r="J464" s="4">
        <v>57684000</v>
      </c>
      <c r="K464" s="4">
        <v>50651000</v>
      </c>
      <c r="L464" s="4">
        <v>7033000</v>
      </c>
      <c r="M464" s="1" t="s">
        <v>20</v>
      </c>
    </row>
    <row r="465" spans="1:13">
      <c r="A465" s="1" t="s">
        <v>706</v>
      </c>
      <c r="B465" s="3">
        <v>45837</v>
      </c>
      <c r="C465" s="1" t="s">
        <v>181</v>
      </c>
      <c r="D465" s="1" t="s">
        <v>15</v>
      </c>
      <c r="E465" s="1" t="s">
        <v>57</v>
      </c>
      <c r="F465" s="1" t="s">
        <v>29</v>
      </c>
      <c r="G465" s="1" t="s">
        <v>30</v>
      </c>
      <c r="H465" s="1" t="s">
        <v>34</v>
      </c>
      <c r="I465" s="1">
        <v>1</v>
      </c>
      <c r="J465" s="4">
        <v>31907000</v>
      </c>
      <c r="K465" s="4">
        <v>34072000</v>
      </c>
      <c r="L465" s="4">
        <v>-2165000</v>
      </c>
      <c r="M465" s="1" t="s">
        <v>20</v>
      </c>
    </row>
    <row r="466" spans="1:13">
      <c r="A466" s="1" t="s">
        <v>707</v>
      </c>
      <c r="B466" s="3">
        <v>45803</v>
      </c>
      <c r="C466" s="1" t="s">
        <v>141</v>
      </c>
      <c r="D466" s="1" t="s">
        <v>23</v>
      </c>
      <c r="E466" s="1" t="s">
        <v>57</v>
      </c>
      <c r="F466" s="1" t="s">
        <v>29</v>
      </c>
      <c r="G466" s="1" t="s">
        <v>18</v>
      </c>
      <c r="H466" s="1" t="s">
        <v>19</v>
      </c>
      <c r="I466" s="1">
        <v>1</v>
      </c>
      <c r="J466" s="4">
        <v>40451000</v>
      </c>
      <c r="K466" s="4">
        <v>36365000</v>
      </c>
      <c r="L466" s="4">
        <v>4086000</v>
      </c>
      <c r="M466" s="1" t="s">
        <v>20</v>
      </c>
    </row>
    <row r="467" spans="1:13">
      <c r="A467" s="1" t="s">
        <v>708</v>
      </c>
      <c r="B467" s="3">
        <v>45661</v>
      </c>
      <c r="C467" s="1" t="s">
        <v>673</v>
      </c>
      <c r="D467" s="1" t="s">
        <v>23</v>
      </c>
      <c r="E467" s="1" t="s">
        <v>44</v>
      </c>
      <c r="F467" s="1" t="s">
        <v>17</v>
      </c>
      <c r="G467" s="1" t="s">
        <v>41</v>
      </c>
      <c r="H467" s="1" t="s">
        <v>110</v>
      </c>
      <c r="I467" s="1">
        <v>1</v>
      </c>
      <c r="J467" s="4">
        <v>26318000</v>
      </c>
      <c r="K467" s="4">
        <v>20942000</v>
      </c>
      <c r="L467" s="4">
        <v>5376000</v>
      </c>
      <c r="M467" s="1" t="s">
        <v>20</v>
      </c>
    </row>
    <row r="468" spans="1:13">
      <c r="A468" s="1" t="s">
        <v>709</v>
      </c>
      <c r="B468" s="3">
        <v>45932</v>
      </c>
      <c r="C468" s="1" t="s">
        <v>309</v>
      </c>
      <c r="D468" s="1" t="s">
        <v>23</v>
      </c>
      <c r="E468" s="1" t="s">
        <v>44</v>
      </c>
      <c r="F468" s="1" t="s">
        <v>17</v>
      </c>
      <c r="G468" s="1" t="s">
        <v>24</v>
      </c>
      <c r="H468" s="1" t="s">
        <v>25</v>
      </c>
      <c r="I468" s="1">
        <v>1</v>
      </c>
      <c r="J468" s="4">
        <v>27255000</v>
      </c>
      <c r="K468" s="4">
        <v>22356000</v>
      </c>
      <c r="L468" s="4">
        <v>4899000</v>
      </c>
      <c r="M468" s="1" t="s">
        <v>20</v>
      </c>
    </row>
    <row r="469" spans="1:13">
      <c r="A469" s="1" t="s">
        <v>710</v>
      </c>
      <c r="B469" s="3">
        <v>45749</v>
      </c>
      <c r="C469" s="1" t="s">
        <v>394</v>
      </c>
      <c r="D469" s="1" t="s">
        <v>15</v>
      </c>
      <c r="E469" s="1" t="s">
        <v>44</v>
      </c>
      <c r="F469" s="1" t="s">
        <v>17</v>
      </c>
      <c r="G469" s="1" t="s">
        <v>30</v>
      </c>
      <c r="H469" s="1" t="s">
        <v>37</v>
      </c>
      <c r="I469" s="1">
        <v>1</v>
      </c>
      <c r="J469" s="4">
        <v>25966000</v>
      </c>
      <c r="K469" s="4">
        <v>21461000</v>
      </c>
      <c r="L469" s="4">
        <v>4505000</v>
      </c>
      <c r="M469" s="1" t="s">
        <v>20</v>
      </c>
    </row>
    <row r="470" spans="1:13">
      <c r="A470" s="1" t="s">
        <v>711</v>
      </c>
      <c r="B470" s="3">
        <v>45718</v>
      </c>
      <c r="C470" s="1" t="s">
        <v>287</v>
      </c>
      <c r="D470" s="1" t="s">
        <v>23</v>
      </c>
      <c r="E470" s="1" t="s">
        <v>40</v>
      </c>
      <c r="F470" s="1" t="s">
        <v>29</v>
      </c>
      <c r="G470" s="1" t="s">
        <v>24</v>
      </c>
      <c r="H470" s="1" t="s">
        <v>19</v>
      </c>
      <c r="I470" s="1">
        <v>1</v>
      </c>
      <c r="J470" s="4">
        <v>23065000</v>
      </c>
      <c r="K470" s="4">
        <v>19235000</v>
      </c>
      <c r="L470" s="4">
        <v>3830000</v>
      </c>
      <c r="M470" s="1" t="s">
        <v>20</v>
      </c>
    </row>
    <row r="471" spans="1:13">
      <c r="A471" s="1" t="s">
        <v>712</v>
      </c>
      <c r="B471" s="3">
        <v>46014</v>
      </c>
      <c r="C471" s="1" t="s">
        <v>153</v>
      </c>
      <c r="D471" s="1" t="s">
        <v>23</v>
      </c>
      <c r="E471" s="1" t="s">
        <v>60</v>
      </c>
      <c r="F471" s="1" t="s">
        <v>61</v>
      </c>
      <c r="G471" s="1" t="s">
        <v>24</v>
      </c>
      <c r="H471" s="1" t="s">
        <v>25</v>
      </c>
      <c r="I471" s="1">
        <v>1</v>
      </c>
      <c r="J471" s="4">
        <v>62383000</v>
      </c>
      <c r="K471" s="4">
        <v>52037000</v>
      </c>
      <c r="L471" s="4">
        <v>10346000</v>
      </c>
      <c r="M471" s="1" t="s">
        <v>20</v>
      </c>
    </row>
    <row r="472" spans="1:13">
      <c r="A472" s="1" t="s">
        <v>713</v>
      </c>
      <c r="B472" s="3">
        <v>45703</v>
      </c>
      <c r="C472" s="1" t="s">
        <v>318</v>
      </c>
      <c r="D472" s="1" t="s">
        <v>23</v>
      </c>
      <c r="E472" s="1" t="s">
        <v>16</v>
      </c>
      <c r="F472" s="1" t="s">
        <v>17</v>
      </c>
      <c r="G472" s="1" t="s">
        <v>24</v>
      </c>
      <c r="H472" s="1" t="s">
        <v>110</v>
      </c>
      <c r="I472" s="1">
        <v>1</v>
      </c>
      <c r="J472" s="4">
        <v>17008000</v>
      </c>
      <c r="K472" s="4">
        <v>14332000</v>
      </c>
      <c r="L472" s="4">
        <v>2676000</v>
      </c>
      <c r="M472" s="1" t="s">
        <v>69</v>
      </c>
    </row>
    <row r="473" spans="1:13">
      <c r="A473" s="1" t="s">
        <v>714</v>
      </c>
      <c r="B473" s="3">
        <v>46022</v>
      </c>
      <c r="C473" s="1" t="s">
        <v>676</v>
      </c>
      <c r="D473" s="1" t="s">
        <v>23</v>
      </c>
      <c r="E473" s="1" t="s">
        <v>64</v>
      </c>
      <c r="F473" s="1" t="s">
        <v>29</v>
      </c>
      <c r="G473" s="1" t="s">
        <v>24</v>
      </c>
      <c r="H473" s="1" t="s">
        <v>110</v>
      </c>
      <c r="I473" s="1">
        <v>1</v>
      </c>
      <c r="J473" s="4">
        <v>21181000</v>
      </c>
      <c r="K473" s="4">
        <v>18290000</v>
      </c>
      <c r="L473" s="4">
        <v>2891000</v>
      </c>
      <c r="M473" s="1" t="s">
        <v>20</v>
      </c>
    </row>
    <row r="474" spans="1:13">
      <c r="A474" s="1" t="s">
        <v>715</v>
      </c>
      <c r="B474" s="3">
        <v>45757</v>
      </c>
      <c r="C474" s="1" t="s">
        <v>224</v>
      </c>
      <c r="D474" s="1" t="s">
        <v>15</v>
      </c>
      <c r="E474" s="1" t="s">
        <v>16</v>
      </c>
      <c r="F474" s="1" t="s">
        <v>17</v>
      </c>
      <c r="G474" s="1" t="s">
        <v>18</v>
      </c>
      <c r="H474" s="1" t="s">
        <v>31</v>
      </c>
      <c r="I474" s="1">
        <v>1</v>
      </c>
      <c r="J474" s="4">
        <v>17462000</v>
      </c>
      <c r="K474" s="4">
        <v>14021000</v>
      </c>
      <c r="L474" s="4">
        <v>3441000</v>
      </c>
      <c r="M474" s="1" t="s">
        <v>20</v>
      </c>
    </row>
    <row r="475" spans="1:13">
      <c r="A475" s="1" t="s">
        <v>716</v>
      </c>
      <c r="B475" s="3">
        <v>45702</v>
      </c>
      <c r="C475" s="1" t="s">
        <v>394</v>
      </c>
      <c r="D475" s="1" t="s">
        <v>15</v>
      </c>
      <c r="E475" s="1" t="s">
        <v>64</v>
      </c>
      <c r="F475" s="1" t="s">
        <v>29</v>
      </c>
      <c r="G475" s="1" t="s">
        <v>18</v>
      </c>
      <c r="H475" s="1" t="s">
        <v>34</v>
      </c>
      <c r="I475" s="1">
        <v>1</v>
      </c>
      <c r="J475" s="4">
        <v>21810000</v>
      </c>
      <c r="K475" s="4">
        <v>18458000</v>
      </c>
      <c r="L475" s="4">
        <v>3352000</v>
      </c>
      <c r="M475" s="1" t="s">
        <v>20</v>
      </c>
    </row>
    <row r="476" spans="1:13">
      <c r="A476" s="1" t="s">
        <v>717</v>
      </c>
      <c r="B476" s="3">
        <v>45939</v>
      </c>
      <c r="C476" s="1" t="s">
        <v>280</v>
      </c>
      <c r="D476" s="1" t="s">
        <v>15</v>
      </c>
      <c r="E476" s="1" t="s">
        <v>54</v>
      </c>
      <c r="F476" s="1" t="s">
        <v>17</v>
      </c>
      <c r="G476" s="1" t="s">
        <v>30</v>
      </c>
      <c r="H476" s="1" t="s">
        <v>25</v>
      </c>
      <c r="I476" s="1">
        <v>2</v>
      </c>
      <c r="J476" s="4">
        <v>56159000</v>
      </c>
      <c r="K476" s="4">
        <v>48550000</v>
      </c>
      <c r="L476" s="4">
        <v>7609000</v>
      </c>
      <c r="M476" s="1" t="s">
        <v>20</v>
      </c>
    </row>
    <row r="477" spans="1:13">
      <c r="A477" s="1" t="s">
        <v>718</v>
      </c>
      <c r="B477" s="3">
        <v>45864</v>
      </c>
      <c r="C477" s="1" t="s">
        <v>338</v>
      </c>
      <c r="D477" s="1" t="s">
        <v>23</v>
      </c>
      <c r="E477" s="1" t="s">
        <v>57</v>
      </c>
      <c r="F477" s="1" t="s">
        <v>29</v>
      </c>
      <c r="G477" s="1" t="s">
        <v>18</v>
      </c>
      <c r="H477" s="1" t="s">
        <v>19</v>
      </c>
      <c r="I477" s="1">
        <v>1</v>
      </c>
      <c r="J477" s="4">
        <v>41015000</v>
      </c>
      <c r="K477" s="4">
        <v>33982000</v>
      </c>
      <c r="L477" s="4">
        <v>7033000</v>
      </c>
      <c r="M477" s="1" t="s">
        <v>20</v>
      </c>
    </row>
    <row r="478" spans="1:13">
      <c r="A478" s="1" t="s">
        <v>719</v>
      </c>
      <c r="B478" s="3">
        <v>45789</v>
      </c>
      <c r="C478" s="1" t="s">
        <v>291</v>
      </c>
      <c r="D478" s="1" t="s">
        <v>15</v>
      </c>
      <c r="E478" s="1" t="s">
        <v>64</v>
      </c>
      <c r="F478" s="1" t="s">
        <v>29</v>
      </c>
      <c r="G478" s="1" t="s">
        <v>30</v>
      </c>
      <c r="H478" s="1" t="s">
        <v>110</v>
      </c>
      <c r="I478" s="1">
        <v>1</v>
      </c>
      <c r="J478" s="4">
        <v>22665000</v>
      </c>
      <c r="K478" s="4">
        <v>19153000</v>
      </c>
      <c r="L478" s="4">
        <v>3512000</v>
      </c>
      <c r="M478" s="1" t="s">
        <v>20</v>
      </c>
    </row>
    <row r="479" spans="1:13">
      <c r="A479" s="1" t="s">
        <v>720</v>
      </c>
      <c r="B479" s="3">
        <v>45892</v>
      </c>
      <c r="C479" s="1" t="s">
        <v>254</v>
      </c>
      <c r="D479" s="1" t="s">
        <v>15</v>
      </c>
      <c r="E479" s="1" t="s">
        <v>60</v>
      </c>
      <c r="F479" s="1" t="s">
        <v>61</v>
      </c>
      <c r="G479" s="1" t="s">
        <v>30</v>
      </c>
      <c r="H479" s="1" t="s">
        <v>37</v>
      </c>
      <c r="I479" s="1">
        <v>2</v>
      </c>
      <c r="J479" s="4">
        <v>122324000</v>
      </c>
      <c r="K479" s="4">
        <v>98554000</v>
      </c>
      <c r="L479" s="4">
        <v>23770000</v>
      </c>
      <c r="M479" s="1" t="s">
        <v>20</v>
      </c>
    </row>
    <row r="480" spans="1:13">
      <c r="A480" s="1" t="s">
        <v>721</v>
      </c>
      <c r="B480" s="3">
        <v>46017</v>
      </c>
      <c r="C480" s="1" t="s">
        <v>649</v>
      </c>
      <c r="D480" s="1" t="s">
        <v>23</v>
      </c>
      <c r="E480" s="1" t="s">
        <v>54</v>
      </c>
      <c r="F480" s="1" t="s">
        <v>17</v>
      </c>
      <c r="G480" s="1" t="s">
        <v>41</v>
      </c>
      <c r="H480" s="1" t="s">
        <v>34</v>
      </c>
      <c r="I480" s="1">
        <v>2</v>
      </c>
      <c r="J480" s="4">
        <v>57407000</v>
      </c>
      <c r="K480" s="4">
        <v>44125000</v>
      </c>
      <c r="L480" s="4">
        <v>13282000</v>
      </c>
      <c r="M480" s="1" t="s">
        <v>20</v>
      </c>
    </row>
    <row r="481" spans="1:13">
      <c r="A481" s="1" t="s">
        <v>722</v>
      </c>
      <c r="B481" s="3">
        <v>45862</v>
      </c>
      <c r="C481" s="1" t="s">
        <v>163</v>
      </c>
      <c r="D481" s="1" t="s">
        <v>15</v>
      </c>
      <c r="E481" s="1" t="s">
        <v>60</v>
      </c>
      <c r="F481" s="1" t="s">
        <v>61</v>
      </c>
      <c r="G481" s="1" t="s">
        <v>24</v>
      </c>
      <c r="H481" s="1" t="s">
        <v>110</v>
      </c>
      <c r="I481" s="1">
        <v>1</v>
      </c>
      <c r="J481" s="4">
        <v>64726000</v>
      </c>
      <c r="K481" s="4">
        <v>50382000</v>
      </c>
      <c r="L481" s="4">
        <v>14344000</v>
      </c>
      <c r="M481" s="1" t="s">
        <v>20</v>
      </c>
    </row>
    <row r="482" spans="1:13">
      <c r="A482" s="1" t="s">
        <v>723</v>
      </c>
      <c r="B482" s="3">
        <v>45751</v>
      </c>
      <c r="C482" s="1" t="s">
        <v>312</v>
      </c>
      <c r="D482" s="1" t="s">
        <v>15</v>
      </c>
      <c r="E482" s="1" t="s">
        <v>64</v>
      </c>
      <c r="F482" s="1" t="s">
        <v>29</v>
      </c>
      <c r="G482" s="1" t="s">
        <v>41</v>
      </c>
      <c r="H482" s="1" t="s">
        <v>31</v>
      </c>
      <c r="I482" s="1">
        <v>2</v>
      </c>
      <c r="J482" s="4">
        <v>44214000</v>
      </c>
      <c r="K482" s="4">
        <v>35501000</v>
      </c>
      <c r="L482" s="4">
        <v>8713000</v>
      </c>
      <c r="M482" s="1" t="s">
        <v>20</v>
      </c>
    </row>
    <row r="483" spans="1:13">
      <c r="A483" s="1" t="s">
        <v>724</v>
      </c>
      <c r="B483" s="3">
        <v>45775</v>
      </c>
      <c r="C483" s="1" t="s">
        <v>127</v>
      </c>
      <c r="D483" s="1" t="s">
        <v>23</v>
      </c>
      <c r="E483" s="1" t="s">
        <v>54</v>
      </c>
      <c r="F483" s="1" t="s">
        <v>17</v>
      </c>
      <c r="G483" s="1" t="s">
        <v>49</v>
      </c>
      <c r="H483" s="1" t="s">
        <v>19</v>
      </c>
      <c r="I483" s="1">
        <v>1</v>
      </c>
      <c r="J483" s="4">
        <v>27368000</v>
      </c>
      <c r="K483" s="4">
        <v>22288000</v>
      </c>
      <c r="L483" s="4">
        <v>5080000</v>
      </c>
      <c r="M483" s="1" t="s">
        <v>20</v>
      </c>
    </row>
    <row r="484" spans="1:13">
      <c r="A484" s="1" t="s">
        <v>725</v>
      </c>
      <c r="B484" s="3">
        <v>45661</v>
      </c>
      <c r="C484" s="1" t="s">
        <v>389</v>
      </c>
      <c r="D484" s="1" t="s">
        <v>23</v>
      </c>
      <c r="E484" s="1" t="s">
        <v>40</v>
      </c>
      <c r="F484" s="1" t="s">
        <v>29</v>
      </c>
      <c r="G484" s="1" t="s">
        <v>24</v>
      </c>
      <c r="H484" s="1" t="s">
        <v>110</v>
      </c>
      <c r="I484" s="1">
        <v>1</v>
      </c>
      <c r="J484" s="4">
        <v>24065000</v>
      </c>
      <c r="K484" s="4">
        <v>20039000</v>
      </c>
      <c r="L484" s="4">
        <v>4026000</v>
      </c>
      <c r="M484" s="1" t="s">
        <v>20</v>
      </c>
    </row>
    <row r="485" spans="1:13">
      <c r="A485" s="1" t="s">
        <v>726</v>
      </c>
      <c r="B485" s="3">
        <v>45909</v>
      </c>
      <c r="C485" s="1" t="s">
        <v>257</v>
      </c>
      <c r="D485" s="1" t="s">
        <v>15</v>
      </c>
      <c r="E485" s="1" t="s">
        <v>16</v>
      </c>
      <c r="F485" s="1" t="s">
        <v>17</v>
      </c>
      <c r="G485" s="1" t="s">
        <v>49</v>
      </c>
      <c r="H485" s="1" t="s">
        <v>25</v>
      </c>
      <c r="I485" s="1">
        <v>1</v>
      </c>
      <c r="J485" s="4">
        <v>17851000</v>
      </c>
      <c r="K485" s="4">
        <v>14863000</v>
      </c>
      <c r="L485" s="4">
        <v>2988000</v>
      </c>
      <c r="M485" s="1" t="s">
        <v>20</v>
      </c>
    </row>
    <row r="486" spans="1:13">
      <c r="A486" s="1" t="s">
        <v>727</v>
      </c>
      <c r="B486" s="3">
        <v>45934</v>
      </c>
      <c r="C486" s="1" t="s">
        <v>587</v>
      </c>
      <c r="D486" s="1" t="s">
        <v>23</v>
      </c>
      <c r="E486" s="1" t="s">
        <v>16</v>
      </c>
      <c r="F486" s="1" t="s">
        <v>17</v>
      </c>
      <c r="G486" s="1" t="s">
        <v>49</v>
      </c>
      <c r="H486" s="1" t="s">
        <v>110</v>
      </c>
      <c r="I486" s="1">
        <v>2</v>
      </c>
      <c r="J486" s="4">
        <v>37471000</v>
      </c>
      <c r="K486" s="4">
        <v>28876000</v>
      </c>
      <c r="L486" s="4">
        <v>8595000</v>
      </c>
      <c r="M486" s="1" t="s">
        <v>20</v>
      </c>
    </row>
    <row r="487" spans="1:13">
      <c r="A487" s="1" t="s">
        <v>728</v>
      </c>
      <c r="B487" s="3">
        <v>46010</v>
      </c>
      <c r="C487" s="1" t="s">
        <v>91</v>
      </c>
      <c r="D487" s="1" t="s">
        <v>15</v>
      </c>
      <c r="E487" s="1" t="s">
        <v>16</v>
      </c>
      <c r="F487" s="1" t="s">
        <v>17</v>
      </c>
      <c r="G487" s="1" t="s">
        <v>24</v>
      </c>
      <c r="H487" s="1" t="s">
        <v>110</v>
      </c>
      <c r="I487" s="1">
        <v>1</v>
      </c>
      <c r="J487" s="4">
        <v>17156000</v>
      </c>
      <c r="K487" s="4">
        <v>14299000</v>
      </c>
      <c r="L487" s="4">
        <v>2857000</v>
      </c>
      <c r="M487" s="1" t="s">
        <v>20</v>
      </c>
    </row>
    <row r="488" spans="1:13">
      <c r="A488" s="1" t="s">
        <v>729</v>
      </c>
      <c r="B488" s="3">
        <v>45779</v>
      </c>
      <c r="C488" s="1" t="s">
        <v>730</v>
      </c>
      <c r="D488" s="1" t="s">
        <v>15</v>
      </c>
      <c r="E488" s="1" t="s">
        <v>54</v>
      </c>
      <c r="F488" s="1" t="s">
        <v>17</v>
      </c>
      <c r="G488" s="1" t="s">
        <v>41</v>
      </c>
      <c r="H488" s="1" t="s">
        <v>110</v>
      </c>
      <c r="I488" s="1">
        <v>1</v>
      </c>
      <c r="J488" s="4">
        <v>27471000</v>
      </c>
      <c r="K488" s="4">
        <v>23024000</v>
      </c>
      <c r="L488" s="4">
        <v>4447000</v>
      </c>
      <c r="M488" s="1" t="s">
        <v>20</v>
      </c>
    </row>
    <row r="489" spans="1:13">
      <c r="A489" s="1" t="s">
        <v>731</v>
      </c>
      <c r="B489" s="3">
        <v>45863</v>
      </c>
      <c r="C489" s="1" t="s">
        <v>444</v>
      </c>
      <c r="D489" s="1" t="s">
        <v>23</v>
      </c>
      <c r="E489" s="1" t="s">
        <v>54</v>
      </c>
      <c r="F489" s="1" t="s">
        <v>17</v>
      </c>
      <c r="G489" s="1" t="s">
        <v>30</v>
      </c>
      <c r="H489" s="1" t="s">
        <v>19</v>
      </c>
      <c r="I489" s="1">
        <v>1</v>
      </c>
      <c r="J489" s="4">
        <v>28924000</v>
      </c>
      <c r="K489" s="4">
        <v>22570000</v>
      </c>
      <c r="L489" s="4">
        <v>6354000</v>
      </c>
      <c r="M489" s="1" t="s">
        <v>20</v>
      </c>
    </row>
    <row r="490" spans="1:13">
      <c r="A490" s="1" t="s">
        <v>732</v>
      </c>
      <c r="B490" s="3">
        <v>45879</v>
      </c>
      <c r="C490" s="1" t="s">
        <v>456</v>
      </c>
      <c r="D490" s="1" t="s">
        <v>23</v>
      </c>
      <c r="E490" s="1" t="s">
        <v>64</v>
      </c>
      <c r="F490" s="1" t="s">
        <v>29</v>
      </c>
      <c r="G490" s="1" t="s">
        <v>49</v>
      </c>
      <c r="H490" s="1" t="s">
        <v>31</v>
      </c>
      <c r="I490" s="1">
        <v>1</v>
      </c>
      <c r="J490" s="4">
        <v>22792000</v>
      </c>
      <c r="K490" s="4">
        <v>18251000</v>
      </c>
      <c r="L490" s="4">
        <v>4541000</v>
      </c>
      <c r="M490" s="1" t="s">
        <v>20</v>
      </c>
    </row>
    <row r="491" spans="1:13">
      <c r="A491" s="1" t="s">
        <v>733</v>
      </c>
      <c r="B491" s="3">
        <v>45980</v>
      </c>
      <c r="C491" s="1" t="s">
        <v>95</v>
      </c>
      <c r="D491" s="1" t="s">
        <v>15</v>
      </c>
      <c r="E491" s="1" t="s">
        <v>28</v>
      </c>
      <c r="F491" s="1" t="s">
        <v>29</v>
      </c>
      <c r="G491" s="1" t="s">
        <v>18</v>
      </c>
      <c r="H491" s="1" t="s">
        <v>37</v>
      </c>
      <c r="I491" s="1">
        <v>1</v>
      </c>
      <c r="J491" s="4">
        <v>41745000</v>
      </c>
      <c r="K491" s="4">
        <v>43770000</v>
      </c>
      <c r="L491" s="4">
        <v>-2025000</v>
      </c>
      <c r="M491" s="1" t="s">
        <v>20</v>
      </c>
    </row>
    <row r="492" spans="1:13">
      <c r="A492" s="1" t="s">
        <v>734</v>
      </c>
      <c r="B492" s="3">
        <v>45741</v>
      </c>
      <c r="C492" s="1" t="s">
        <v>465</v>
      </c>
      <c r="D492" s="1" t="s">
        <v>15</v>
      </c>
      <c r="E492" s="1" t="s">
        <v>16</v>
      </c>
      <c r="F492" s="1" t="s">
        <v>17</v>
      </c>
      <c r="G492" s="1" t="s">
        <v>41</v>
      </c>
      <c r="H492" s="1" t="s">
        <v>19</v>
      </c>
      <c r="I492" s="1">
        <v>1</v>
      </c>
      <c r="J492" s="4">
        <v>18394000</v>
      </c>
      <c r="K492" s="4">
        <v>14427000</v>
      </c>
      <c r="L492" s="4">
        <v>3967000</v>
      </c>
      <c r="M492" s="1" t="s">
        <v>20</v>
      </c>
    </row>
    <row r="493" spans="1:13">
      <c r="A493" s="1" t="s">
        <v>735</v>
      </c>
      <c r="B493" s="3">
        <v>45943</v>
      </c>
      <c r="C493" s="1" t="s">
        <v>132</v>
      </c>
      <c r="D493" s="1" t="s">
        <v>23</v>
      </c>
      <c r="E493" s="1" t="s">
        <v>64</v>
      </c>
      <c r="F493" s="1" t="s">
        <v>29</v>
      </c>
      <c r="G493" s="1" t="s">
        <v>24</v>
      </c>
      <c r="H493" s="1" t="s">
        <v>19</v>
      </c>
      <c r="I493" s="1">
        <v>1</v>
      </c>
      <c r="J493" s="4">
        <v>21027000</v>
      </c>
      <c r="K493" s="4">
        <v>18972000</v>
      </c>
      <c r="L493" s="4">
        <v>2055000</v>
      </c>
      <c r="M493" s="1" t="s">
        <v>69</v>
      </c>
    </row>
    <row r="494" spans="1:13">
      <c r="A494" s="1" t="s">
        <v>736</v>
      </c>
      <c r="B494" s="3">
        <v>45990</v>
      </c>
      <c r="C494" s="1" t="s">
        <v>394</v>
      </c>
      <c r="D494" s="1" t="s">
        <v>23</v>
      </c>
      <c r="E494" s="1" t="s">
        <v>60</v>
      </c>
      <c r="F494" s="1" t="s">
        <v>61</v>
      </c>
      <c r="G494" s="1" t="s">
        <v>49</v>
      </c>
      <c r="H494" s="1" t="s">
        <v>34</v>
      </c>
      <c r="I494" s="1">
        <v>1</v>
      </c>
      <c r="J494" s="4">
        <v>49328000</v>
      </c>
      <c r="K494" s="4">
        <v>51375000</v>
      </c>
      <c r="L494" s="4">
        <v>-2047000</v>
      </c>
      <c r="M494" s="1" t="s">
        <v>20</v>
      </c>
    </row>
    <row r="495" spans="1:13">
      <c r="A495" s="1" t="s">
        <v>737</v>
      </c>
      <c r="B495" s="3">
        <v>45853</v>
      </c>
      <c r="C495" s="1" t="s">
        <v>456</v>
      </c>
      <c r="D495" s="1" t="s">
        <v>23</v>
      </c>
      <c r="E495" s="1" t="s">
        <v>57</v>
      </c>
      <c r="F495" s="1" t="s">
        <v>29</v>
      </c>
      <c r="G495" s="1" t="s">
        <v>24</v>
      </c>
      <c r="H495" s="1" t="s">
        <v>19</v>
      </c>
      <c r="I495" s="1">
        <v>2</v>
      </c>
      <c r="J495" s="4">
        <v>90547000</v>
      </c>
      <c r="K495" s="4">
        <v>71998000</v>
      </c>
      <c r="L495" s="4">
        <v>18549000</v>
      </c>
      <c r="M495" s="1" t="s">
        <v>20</v>
      </c>
    </row>
    <row r="496" spans="1:13">
      <c r="A496" s="1" t="s">
        <v>738</v>
      </c>
      <c r="B496" s="3">
        <v>45865</v>
      </c>
      <c r="C496" s="1" t="s">
        <v>494</v>
      </c>
      <c r="D496" s="1" t="s">
        <v>23</v>
      </c>
      <c r="E496" s="1" t="s">
        <v>40</v>
      </c>
      <c r="F496" s="1" t="s">
        <v>29</v>
      </c>
      <c r="G496" s="1" t="s">
        <v>24</v>
      </c>
      <c r="H496" s="1" t="s">
        <v>37</v>
      </c>
      <c r="I496" s="1">
        <v>1</v>
      </c>
      <c r="J496" s="4">
        <v>23272000</v>
      </c>
      <c r="K496" s="4">
        <v>19437000</v>
      </c>
      <c r="L496" s="4">
        <v>3835000</v>
      </c>
      <c r="M496" s="1" t="s">
        <v>20</v>
      </c>
    </row>
    <row r="497" spans="1:13">
      <c r="A497" s="1" t="s">
        <v>739</v>
      </c>
      <c r="B497" s="3">
        <v>45860</v>
      </c>
      <c r="C497" s="1" t="s">
        <v>349</v>
      </c>
      <c r="D497" s="1" t="s">
        <v>23</v>
      </c>
      <c r="E497" s="1" t="s">
        <v>54</v>
      </c>
      <c r="F497" s="1" t="s">
        <v>17</v>
      </c>
      <c r="G497" s="1" t="s">
        <v>30</v>
      </c>
      <c r="H497" s="1" t="s">
        <v>31</v>
      </c>
      <c r="I497" s="1">
        <v>2</v>
      </c>
      <c r="J497" s="4">
        <v>56271000</v>
      </c>
      <c r="K497" s="4">
        <v>46803000</v>
      </c>
      <c r="L497" s="4">
        <v>9468000</v>
      </c>
      <c r="M497" s="1" t="s">
        <v>69</v>
      </c>
    </row>
    <row r="498" spans="1:13">
      <c r="A498" s="1" t="s">
        <v>740</v>
      </c>
      <c r="B498" s="3">
        <v>45669</v>
      </c>
      <c r="C498" s="1" t="s">
        <v>95</v>
      </c>
      <c r="D498" s="1" t="s">
        <v>23</v>
      </c>
      <c r="E498" s="1" t="s">
        <v>16</v>
      </c>
      <c r="F498" s="1" t="s">
        <v>17</v>
      </c>
      <c r="G498" s="1" t="s">
        <v>18</v>
      </c>
      <c r="H498" s="1" t="s">
        <v>34</v>
      </c>
      <c r="I498" s="1">
        <v>1</v>
      </c>
      <c r="J498" s="4">
        <v>18661000</v>
      </c>
      <c r="K498" s="4">
        <v>14862000</v>
      </c>
      <c r="L498" s="4">
        <v>3799000</v>
      </c>
      <c r="M498" s="1" t="s">
        <v>20</v>
      </c>
    </row>
    <row r="499" spans="1:13">
      <c r="A499" s="1" t="s">
        <v>741</v>
      </c>
      <c r="B499" s="3">
        <v>45690</v>
      </c>
      <c r="C499" s="1" t="s">
        <v>566</v>
      </c>
      <c r="D499" s="1" t="s">
        <v>23</v>
      </c>
      <c r="E499" s="1" t="s">
        <v>64</v>
      </c>
      <c r="F499" s="1" t="s">
        <v>29</v>
      </c>
      <c r="G499" s="1" t="s">
        <v>41</v>
      </c>
      <c r="H499" s="1" t="s">
        <v>19</v>
      </c>
      <c r="I499" s="1">
        <v>1</v>
      </c>
      <c r="J499" s="4">
        <v>22885000</v>
      </c>
      <c r="K499" s="4">
        <v>18344000</v>
      </c>
      <c r="L499" s="4">
        <v>4541000</v>
      </c>
      <c r="M499" s="1" t="s">
        <v>69</v>
      </c>
    </row>
    <row r="500" spans="1:13">
      <c r="A500" s="1" t="s">
        <v>742</v>
      </c>
      <c r="B500" s="3">
        <v>45737</v>
      </c>
      <c r="C500" s="1" t="s">
        <v>252</v>
      </c>
      <c r="D500" s="1" t="s">
        <v>15</v>
      </c>
      <c r="E500" s="1" t="s">
        <v>16</v>
      </c>
      <c r="F500" s="1" t="s">
        <v>17</v>
      </c>
      <c r="G500" s="1" t="s">
        <v>30</v>
      </c>
      <c r="H500" s="1" t="s">
        <v>19</v>
      </c>
      <c r="I500" s="1">
        <v>1</v>
      </c>
      <c r="J500" s="4">
        <v>17457000</v>
      </c>
      <c r="K500" s="4">
        <v>14845000</v>
      </c>
      <c r="L500" s="4">
        <v>2612000</v>
      </c>
      <c r="M500" s="1" t="s">
        <v>20</v>
      </c>
    </row>
    <row r="501" spans="1:13">
      <c r="A501" s="1" t="s">
        <v>743</v>
      </c>
      <c r="B501" s="3">
        <v>45745</v>
      </c>
      <c r="C501" s="1" t="s">
        <v>192</v>
      </c>
      <c r="D501" s="1" t="s">
        <v>15</v>
      </c>
      <c r="E501" s="1" t="s">
        <v>16</v>
      </c>
      <c r="F501" s="1" t="s">
        <v>17</v>
      </c>
      <c r="G501" s="1" t="s">
        <v>41</v>
      </c>
      <c r="H501" s="1" t="s">
        <v>19</v>
      </c>
      <c r="I501" s="1">
        <v>2</v>
      </c>
      <c r="J501" s="4">
        <v>35362000</v>
      </c>
      <c r="K501" s="4">
        <v>28931000</v>
      </c>
      <c r="L501" s="4">
        <v>6431000</v>
      </c>
      <c r="M501" s="1" t="s">
        <v>69</v>
      </c>
    </row>
  </sheetData>
  <autoFilter ref="A1:M5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134"/>
  <sheetViews>
    <sheetView topLeftCell="D127" workbookViewId="0">
      <selection activeCell="K18" sqref="K18"/>
    </sheetView>
  </sheetViews>
  <sheetFormatPr defaultRowHeight="15"/>
  <cols>
    <col min="1" max="1" width="17.42578125" customWidth="1"/>
    <col min="2" max="3" width="10" customWidth="1"/>
    <col min="4" max="4" width="11.28515625" customWidth="1"/>
    <col min="5" max="5" width="17.42578125" customWidth="1"/>
    <col min="6" max="6" width="12.140625" customWidth="1"/>
    <col min="7" max="7" width="13.140625" customWidth="1"/>
    <col min="8" max="8" width="12.140625" customWidth="1"/>
    <col min="9" max="9" width="11" customWidth="1"/>
    <col min="10" max="10" width="13.140625" customWidth="1"/>
    <col min="11" max="12" width="12.140625" customWidth="1"/>
    <col min="13" max="13" width="16.28515625" customWidth="1"/>
    <col min="14" max="15" width="12.5703125" customWidth="1"/>
    <col min="16" max="16" width="13.140625" customWidth="1"/>
    <col min="17" max="17" width="12.140625" customWidth="1"/>
    <col min="18" max="24" width="16.28515625" bestFit="1" customWidth="1"/>
    <col min="25" max="25" width="20.42578125" bestFit="1" customWidth="1"/>
    <col min="26" max="26" width="17.28515625" bestFit="1" customWidth="1"/>
    <col min="27" max="502" width="16.28515625" bestFit="1" customWidth="1"/>
    <col min="503" max="503" width="11.28515625" bestFit="1" customWidth="1"/>
  </cols>
  <sheetData>
    <row r="2" spans="1:17">
      <c r="A2" s="5" t="s">
        <v>744</v>
      </c>
      <c r="B2" t="s">
        <v>746</v>
      </c>
      <c r="C2" t="s">
        <v>759</v>
      </c>
      <c r="M2" s="5" t="s">
        <v>761</v>
      </c>
    </row>
    <row r="3" spans="1:17">
      <c r="A3" s="6" t="s">
        <v>747</v>
      </c>
      <c r="B3" s="7">
        <v>203719000</v>
      </c>
      <c r="C3" s="9"/>
      <c r="M3" s="11" t="s">
        <v>754</v>
      </c>
      <c r="N3" s="11" t="s">
        <v>755</v>
      </c>
      <c r="O3" s="11" t="s">
        <v>745</v>
      </c>
    </row>
    <row r="4" spans="1:17">
      <c r="A4" s="6" t="s">
        <v>748</v>
      </c>
      <c r="B4" s="7">
        <v>418146000</v>
      </c>
      <c r="C4" s="9">
        <f>GETPIVOTDATA("Sales",$A$2,"Date",2)-GETPIVOTDATA("Sales",$A$2,"Date",1)</f>
        <v>214427000</v>
      </c>
      <c r="L4" t="s">
        <v>746</v>
      </c>
      <c r="M4" s="12">
        <v>493488000</v>
      </c>
      <c r="N4" s="12">
        <v>180183000</v>
      </c>
      <c r="O4" s="12">
        <v>673671000</v>
      </c>
    </row>
    <row r="5" spans="1:17">
      <c r="A5" s="6" t="s">
        <v>749</v>
      </c>
      <c r="B5" s="7">
        <v>385459000</v>
      </c>
      <c r="C5" s="9">
        <f>GETPIVOTDATA("Sales",$A$2,"Date",3)-GETPIVOTDATA("Sales",$A$2,"Date",2)</f>
        <v>-32687000</v>
      </c>
    </row>
    <row r="6" spans="1:17">
      <c r="A6" s="6" t="s">
        <v>750</v>
      </c>
      <c r="B6" s="7">
        <v>188181000</v>
      </c>
      <c r="C6" s="9">
        <f>GETPIVOTDATA("Sales",$A$2,"Date",4)-GETPIVOTDATA("Sales",$A$2,"Date",3)</f>
        <v>-197278000</v>
      </c>
    </row>
    <row r="7" spans="1:17">
      <c r="A7" s="6" t="s">
        <v>751</v>
      </c>
      <c r="B7" s="7">
        <v>185803000</v>
      </c>
      <c r="C7" s="9">
        <f>GETPIVOTDATA("Sales",$A$2,"Date",5)-GETPIVOTDATA("Sales",$A$2,"Date",4)</f>
        <v>-2378000</v>
      </c>
    </row>
    <row r="8" spans="1:17">
      <c r="A8" s="6" t="s">
        <v>752</v>
      </c>
      <c r="B8" s="7">
        <v>135566000</v>
      </c>
      <c r="C8" s="9">
        <f>GETPIVOTDATA("Sales",$A$2,"Date",6)-GETPIVOTDATA("Sales",$A$2,"Date",5)</f>
        <v>-50237000</v>
      </c>
      <c r="L8" t="s">
        <v>746</v>
      </c>
    </row>
    <row r="9" spans="1:17" ht="18.75">
      <c r="A9" s="6" t="s">
        <v>753</v>
      </c>
      <c r="B9" s="7">
        <v>798248000</v>
      </c>
      <c r="C9" s="9">
        <f>GETPIVOTDATA("Sales",$A$2,"Date",7)-GETPIVOTDATA("Sales",$A$2,"Date",6)</f>
        <v>662682000</v>
      </c>
      <c r="D9">
        <f>MAX(A2:B14)</f>
        <v>798248000</v>
      </c>
      <c r="L9" s="7">
        <v>4039591000</v>
      </c>
      <c r="M9" s="13">
        <f>GETPIVOTDATA("Sales",$L$8)</f>
        <v>4039591000</v>
      </c>
      <c r="O9" t="s">
        <v>769</v>
      </c>
    </row>
    <row r="10" spans="1:17">
      <c r="A10" s="6" t="s">
        <v>754</v>
      </c>
      <c r="B10" s="7">
        <v>493488000</v>
      </c>
      <c r="C10" s="9">
        <f>GETPIVOTDATA("Sales",$A$2,"Date",8)</f>
        <v>493488000</v>
      </c>
      <c r="O10" s="7">
        <v>628414000</v>
      </c>
      <c r="P10" s="12">
        <f>GETPIVOTDATA("Profit",$O$9)</f>
        <v>628414000</v>
      </c>
    </row>
    <row r="11" spans="1:17">
      <c r="A11" s="6" t="s">
        <v>755</v>
      </c>
      <c r="B11" s="7">
        <v>180183000</v>
      </c>
      <c r="C11" s="9">
        <f>GETPIVOTDATA("Sales",$A$2,"Date",9)-GETPIVOTDATA("Sales",$A$2,"Date",8)</f>
        <v>-313305000</v>
      </c>
      <c r="D11" s="8" t="s">
        <v>760</v>
      </c>
      <c r="L11" s="14"/>
      <c r="M11" s="15"/>
      <c r="N11" s="16"/>
    </row>
    <row r="12" spans="1:17">
      <c r="A12" s="6" t="s">
        <v>756</v>
      </c>
      <c r="B12" s="7">
        <v>368636000</v>
      </c>
      <c r="C12" s="9">
        <f>GETPIVOTDATA("Sales",$A$2,"Date",10)-GETPIVOTDATA("Sales",$A$2,"Date",9)</f>
        <v>188453000</v>
      </c>
      <c r="D12" s="26" t="s">
        <v>771</v>
      </c>
      <c r="L12" s="17"/>
      <c r="M12" s="18"/>
      <c r="N12" s="19"/>
      <c r="O12" s="5" t="s">
        <v>744</v>
      </c>
      <c r="P12" t="s">
        <v>746</v>
      </c>
    </row>
    <row r="13" spans="1:17">
      <c r="A13" s="6" t="s">
        <v>757</v>
      </c>
      <c r="B13" s="7">
        <v>216664000</v>
      </c>
      <c r="C13" s="9">
        <f>GETPIVOTDATA("Sales",$A$2,"Date",11)-GETPIVOTDATA("Sales",$A$2,"Date",10)</f>
        <v>-151972000</v>
      </c>
      <c r="L13" s="17"/>
      <c r="M13" s="18"/>
      <c r="N13" s="19"/>
      <c r="O13" s="6" t="s">
        <v>754</v>
      </c>
      <c r="P13" s="7">
        <v>493488000</v>
      </c>
      <c r="Q13" s="23">
        <f>GETPIVOTDATA("Sales",$O$12,"Date",8)</f>
        <v>493488000</v>
      </c>
    </row>
    <row r="14" spans="1:17">
      <c r="A14" s="6" t="s">
        <v>758</v>
      </c>
      <c r="B14" s="7">
        <v>465498000</v>
      </c>
      <c r="C14" s="9">
        <f>GETPIVOTDATA("Sales",$A$2,"Date",12)-GETPIVOTDATA("Sales",$A$2,"Date",11)</f>
        <v>248834000</v>
      </c>
      <c r="L14" s="17"/>
      <c r="M14" s="18"/>
      <c r="N14" s="19"/>
      <c r="O14" s="6" t="s">
        <v>745</v>
      </c>
      <c r="P14" s="7">
        <v>493488000</v>
      </c>
    </row>
    <row r="15" spans="1:17">
      <c r="A15" s="6" t="s">
        <v>745</v>
      </c>
      <c r="B15" s="7">
        <v>4039591000</v>
      </c>
      <c r="L15" s="17"/>
      <c r="M15" s="18"/>
      <c r="N15" s="19"/>
    </row>
    <row r="16" spans="1:17">
      <c r="L16" s="17"/>
      <c r="M16" s="18"/>
      <c r="N16" s="19"/>
      <c r="P16" s="5" t="s">
        <v>744</v>
      </c>
      <c r="Q16" t="s">
        <v>746</v>
      </c>
    </row>
    <row r="17" spans="1:18">
      <c r="L17" s="17"/>
      <c r="M17" s="18"/>
      <c r="N17" s="19"/>
      <c r="P17" s="6" t="s">
        <v>755</v>
      </c>
      <c r="Q17" s="7">
        <v>180183000</v>
      </c>
      <c r="R17" s="24">
        <f>GETPIVOTDATA("Sales",$P$16,"Date",9)</f>
        <v>180183000</v>
      </c>
    </row>
    <row r="18" spans="1:18">
      <c r="A18" s="5" t="s">
        <v>746</v>
      </c>
      <c r="B18" s="5" t="s">
        <v>762</v>
      </c>
      <c r="L18" s="17"/>
      <c r="M18" s="18"/>
      <c r="N18" s="19"/>
      <c r="P18" s="6" t="s">
        <v>745</v>
      </c>
      <c r="Q18" s="7">
        <v>180183000</v>
      </c>
    </row>
    <row r="19" spans="1:18">
      <c r="A19" s="5" t="s">
        <v>4</v>
      </c>
      <c r="B19" s="11" t="s">
        <v>754</v>
      </c>
      <c r="C19" s="11" t="s">
        <v>755</v>
      </c>
      <c r="D19" s="11" t="s">
        <v>745</v>
      </c>
      <c r="E19" s="11" t="s">
        <v>759</v>
      </c>
      <c r="L19" s="17"/>
      <c r="M19" s="18"/>
      <c r="N19" s="19"/>
    </row>
    <row r="20" spans="1:18">
      <c r="A20" s="10" t="s">
        <v>40</v>
      </c>
      <c r="B20" s="7">
        <v>48026000</v>
      </c>
      <c r="C20" s="7"/>
      <c r="D20" s="7">
        <v>48026000</v>
      </c>
      <c r="E20" s="9" t="e">
        <f>GETPIVOTDATA("Sales",$A$18,"Date",9,"Product","Honda Accord")-GETPIVOTDATA("Sales",$A$18,"Date",8,"Product","Honda Accord")</f>
        <v>#REF!</v>
      </c>
      <c r="L20" s="17"/>
      <c r="M20" s="18"/>
      <c r="N20" s="19"/>
    </row>
    <row r="21" spans="1:18">
      <c r="A21" s="10" t="s">
        <v>64</v>
      </c>
      <c r="B21" s="7">
        <v>64776000</v>
      </c>
      <c r="C21" s="7">
        <v>21161000</v>
      </c>
      <c r="D21" s="7">
        <v>85937000</v>
      </c>
      <c r="E21" s="9">
        <f>GETPIVOTDATA("Sales",$A$18,"Date",9,"Product","Hyundai Tucson")-GETPIVOTDATA("Sales",$A$18,"Date",8,"Product","Hyundai Tucson")</f>
        <v>-48026000</v>
      </c>
      <c r="L21" s="17"/>
      <c r="M21" s="18"/>
      <c r="N21" s="19"/>
    </row>
    <row r="22" spans="1:18">
      <c r="A22" s="10" t="s">
        <v>28</v>
      </c>
      <c r="B22" s="7">
        <v>100016000</v>
      </c>
      <c r="C22" s="7"/>
      <c r="D22" s="7">
        <v>100016000</v>
      </c>
      <c r="E22" s="9">
        <f>GETPIVOTDATA("Sales",$A$18,"Date",9,"Product","Kia Sportage")-GETPIVOTDATA("Sales",$A$18,"Date",8,"Product","Kia Sportage")</f>
        <v>-43615000</v>
      </c>
      <c r="L22" s="17"/>
      <c r="M22" s="18"/>
      <c r="N22" s="19"/>
    </row>
    <row r="23" spans="1:18">
      <c r="A23" s="10" t="s">
        <v>60</v>
      </c>
      <c r="B23" s="7">
        <v>62143000</v>
      </c>
      <c r="C23" s="7">
        <v>58078000</v>
      </c>
      <c r="D23" s="7">
        <v>120221000</v>
      </c>
      <c r="E23" s="9">
        <f>GETPIVOTDATA("Sales",$A$18,"Date",9,"Product","Lexus RX")-GETPIVOTDATA("Sales",$A$18,"Date",8,"Product","Lexus RX")</f>
        <v>-100016000</v>
      </c>
      <c r="L23" s="17"/>
      <c r="M23" s="18"/>
      <c r="N23" s="19"/>
    </row>
    <row r="24" spans="1:18">
      <c r="A24" s="10" t="s">
        <v>54</v>
      </c>
      <c r="B24" s="7">
        <v>27374000</v>
      </c>
      <c r="C24" s="7">
        <v>28161000</v>
      </c>
      <c r="D24" s="7">
        <v>55535000</v>
      </c>
      <c r="E24" s="9">
        <f>GETPIVOTDATA("Sales",$A$18,"Date",9,"Product","Mercedes C-Class")-GETPIVOTDATA("Sales",$A$18,"Date",8,"Product","Mercedes C-Class")</f>
        <v>-4065000</v>
      </c>
      <c r="L24" s="17"/>
      <c r="M24" s="18"/>
      <c r="N24" s="19"/>
    </row>
    <row r="25" spans="1:18">
      <c r="A25" s="10" t="s">
        <v>16</v>
      </c>
      <c r="B25" s="7">
        <v>53559000</v>
      </c>
      <c r="C25" s="7">
        <v>72783000</v>
      </c>
      <c r="D25" s="7">
        <v>126342000</v>
      </c>
      <c r="E25" s="9">
        <f>GETPIVOTDATA("Sales",$A$18,"Date",9,"Product","Toyota Camry")-GETPIVOTDATA("Sales",$A$18,"Date",8,"Product","Toyota Camry")</f>
        <v>787000</v>
      </c>
      <c r="L25" s="17"/>
      <c r="M25" s="18"/>
      <c r="N25" s="19"/>
    </row>
    <row r="26" spans="1:18">
      <c r="A26" s="10" t="s">
        <v>57</v>
      </c>
      <c r="B26" s="7">
        <v>137594000</v>
      </c>
      <c r="C26" s="7"/>
      <c r="D26" s="7">
        <v>137594000</v>
      </c>
      <c r="E26" s="9">
        <f>GETPIVOTDATA("Sales",$A$18,"Date",9,"Product","Toyota Corolla")-GETPIVOTDATA("Sales",$A$18,"Date",8,"Product","Toyota Corolla")</f>
        <v>19224000</v>
      </c>
      <c r="L26" s="17"/>
      <c r="M26" s="18"/>
      <c r="N26" s="19"/>
    </row>
    <row r="27" spans="1:18">
      <c r="A27" s="10" t="s">
        <v>745</v>
      </c>
      <c r="B27" s="7">
        <v>493488000</v>
      </c>
      <c r="C27" s="7">
        <v>180183000</v>
      </c>
      <c r="D27" s="7">
        <v>673671000</v>
      </c>
      <c r="E27" s="9">
        <f>GETPIVOTDATA("Sales",$A$18,"Date",9,"Product","Toyota Highlander")-GETPIVOTDATA("Sales",$A$18,"Date",8,"Product","Toyota Highlander")</f>
        <v>-137594000</v>
      </c>
      <c r="F27" t="s">
        <v>764</v>
      </c>
      <c r="L27" s="17"/>
      <c r="M27" s="18"/>
      <c r="N27" s="19"/>
    </row>
    <row r="28" spans="1:18">
      <c r="L28" s="20"/>
      <c r="M28" s="21"/>
      <c r="N28" s="22"/>
    </row>
    <row r="32" spans="1:18">
      <c r="A32" s="5" t="s">
        <v>746</v>
      </c>
      <c r="B32" s="5" t="s">
        <v>763</v>
      </c>
    </row>
    <row r="33" spans="1:14">
      <c r="A33" s="5" t="s">
        <v>6</v>
      </c>
      <c r="B33" s="11" t="s">
        <v>754</v>
      </c>
      <c r="C33" s="11" t="s">
        <v>755</v>
      </c>
      <c r="D33" s="11" t="s">
        <v>745</v>
      </c>
      <c r="E33" s="11" t="s">
        <v>759</v>
      </c>
      <c r="N33">
        <f>Pivottable!G1</f>
        <v>0</v>
      </c>
    </row>
    <row r="34" spans="1:14">
      <c r="A34" s="10" t="s">
        <v>24</v>
      </c>
      <c r="B34" s="7">
        <v>493488000</v>
      </c>
      <c r="C34" s="7">
        <v>180183000</v>
      </c>
      <c r="D34" s="7">
        <v>673671000</v>
      </c>
      <c r="E34" s="9" t="e">
        <f>GETPIVOTDATA("Sales",$A$32,"Date",9,"Region","Abuja")-GETPIVOTDATA("Sales",$A$32,"Date",8,"Region","Abuja")</f>
        <v>#REF!</v>
      </c>
      <c r="F34" t="s">
        <v>764</v>
      </c>
    </row>
    <row r="35" spans="1:14">
      <c r="A35" s="10" t="s">
        <v>745</v>
      </c>
      <c r="B35" s="7">
        <v>493488000</v>
      </c>
      <c r="C35" s="7">
        <v>180183000</v>
      </c>
      <c r="D35" s="7">
        <v>673671000</v>
      </c>
      <c r="E35" s="9" t="e">
        <f>GETPIVOTDATA("Sales",$A$32,"Date",9,"Region","Lagos")-GETPIVOTDATA("Sales",$A$32,"Date",8,"Region","Lagos")</f>
        <v>#REF!</v>
      </c>
    </row>
    <row r="36" spans="1:14">
      <c r="E36" s="9" t="e">
        <f>GETPIVOTDATA("Sales",$A$32,"Date",9,"Region","Ogun")-GETPIVOTDATA("Sales",$A$32,"Date",8,"Region","Ogun")</f>
        <v>#REF!</v>
      </c>
    </row>
    <row r="37" spans="1:14">
      <c r="E37" s="9" t="e">
        <f>GETPIVOTDATA("Sales",$A$32,"Date",9,"Region","Oyo")-GETPIVOTDATA("Sales",$A$32,"Date",8,"Region","Oyo")</f>
        <v>#REF!</v>
      </c>
    </row>
    <row r="38" spans="1:14">
      <c r="E38" s="9">
        <f>GETPIVOTDATA("Sales",$A$32,"Date",9,"Region","Rivers")-GETPIVOTDATA("Sales",$A$32,"Date",8,"Region","Rivers")</f>
        <v>-313305000</v>
      </c>
    </row>
    <row r="41" spans="1:14">
      <c r="A41" s="5" t="s">
        <v>4</v>
      </c>
      <c r="B41" t="s">
        <v>770</v>
      </c>
    </row>
    <row r="42" spans="1:14">
      <c r="G42" s="11" t="s">
        <v>755</v>
      </c>
      <c r="H42" s="11" t="s">
        <v>759</v>
      </c>
    </row>
    <row r="43" spans="1:14">
      <c r="A43" s="5" t="s">
        <v>746</v>
      </c>
      <c r="B43" s="5" t="s">
        <v>761</v>
      </c>
      <c r="E43" t="s">
        <v>49</v>
      </c>
      <c r="G43" s="7"/>
      <c r="H43" s="9">
        <f t="shared" ref="H43:H50" si="0">G43-F45</f>
        <v>-26771000</v>
      </c>
    </row>
    <row r="44" spans="1:14">
      <c r="A44" s="5" t="s">
        <v>6</v>
      </c>
      <c r="B44" s="11" t="s">
        <v>754</v>
      </c>
      <c r="C44" s="11" t="s">
        <v>755</v>
      </c>
      <c r="D44" s="11" t="s">
        <v>745</v>
      </c>
      <c r="E44" s="11" t="s">
        <v>4</v>
      </c>
      <c r="F44" s="11" t="s">
        <v>754</v>
      </c>
      <c r="G44" s="7">
        <v>48147000</v>
      </c>
      <c r="H44" s="9">
        <f t="shared" si="0"/>
        <v>25448000</v>
      </c>
    </row>
    <row r="45" spans="1:14">
      <c r="A45" s="10" t="s">
        <v>24</v>
      </c>
      <c r="B45" s="7">
        <v>493488000</v>
      </c>
      <c r="C45" s="7">
        <v>180183000</v>
      </c>
      <c r="D45" s="7">
        <v>673671000</v>
      </c>
      <c r="E45" s="10" t="s">
        <v>44</v>
      </c>
      <c r="F45" s="7">
        <v>26771000</v>
      </c>
      <c r="G45" s="7">
        <v>45317000</v>
      </c>
      <c r="H45" s="9">
        <f t="shared" si="0"/>
        <v>266000</v>
      </c>
    </row>
    <row r="46" spans="1:14">
      <c r="A46" s="10" t="s">
        <v>745</v>
      </c>
      <c r="B46" s="7">
        <v>493488000</v>
      </c>
      <c r="C46" s="7">
        <v>180183000</v>
      </c>
      <c r="D46" s="7">
        <v>673671000</v>
      </c>
      <c r="E46" s="10" t="s">
        <v>40</v>
      </c>
      <c r="F46" s="7">
        <v>22699000</v>
      </c>
      <c r="G46" s="7"/>
      <c r="H46" s="9">
        <f t="shared" si="0"/>
        <v>-104483000</v>
      </c>
    </row>
    <row r="47" spans="1:14">
      <c r="E47" s="10" t="s">
        <v>64</v>
      </c>
      <c r="F47" s="7">
        <v>45051000</v>
      </c>
      <c r="G47" s="7">
        <v>61227000</v>
      </c>
      <c r="H47" s="9">
        <f t="shared" si="0"/>
        <v>-130950000</v>
      </c>
    </row>
    <row r="48" spans="1:14">
      <c r="E48" s="10" t="s">
        <v>28</v>
      </c>
      <c r="F48" s="7">
        <v>104483000</v>
      </c>
      <c r="G48" s="7"/>
      <c r="H48" s="9">
        <f t="shared" si="0"/>
        <v>-29452000</v>
      </c>
    </row>
    <row r="49" spans="1:11">
      <c r="E49" s="10" t="s">
        <v>60</v>
      </c>
      <c r="F49" s="7">
        <v>192177000</v>
      </c>
      <c r="G49" s="7">
        <v>36679000</v>
      </c>
      <c r="H49" s="9">
        <f t="shared" si="0"/>
        <v>-18741000</v>
      </c>
      <c r="I49" t="s">
        <v>765</v>
      </c>
    </row>
    <row r="50" spans="1:11">
      <c r="E50" s="10" t="s">
        <v>54</v>
      </c>
      <c r="F50" s="7">
        <v>29452000</v>
      </c>
      <c r="G50" s="7"/>
      <c r="H50" s="9">
        <f t="shared" si="0"/>
        <v>-45060000</v>
      </c>
    </row>
    <row r="51" spans="1:11">
      <c r="E51" s="10" t="s">
        <v>16</v>
      </c>
      <c r="F51" s="7">
        <v>55420000</v>
      </c>
    </row>
    <row r="52" spans="1:11">
      <c r="E52" s="10" t="s">
        <v>57</v>
      </c>
      <c r="F52" s="7">
        <v>45060000</v>
      </c>
    </row>
    <row r="53" spans="1:11">
      <c r="A53" s="5" t="s">
        <v>4</v>
      </c>
      <c r="B53" t="s">
        <v>770</v>
      </c>
      <c r="G53" s="5" t="s">
        <v>744</v>
      </c>
      <c r="H53" t="s">
        <v>746</v>
      </c>
    </row>
    <row r="54" spans="1:11">
      <c r="G54" s="10" t="s">
        <v>24</v>
      </c>
      <c r="H54" s="7">
        <v>4039591000</v>
      </c>
    </row>
    <row r="55" spans="1:11">
      <c r="A55" s="5" t="s">
        <v>766</v>
      </c>
      <c r="B55" s="5" t="s">
        <v>761</v>
      </c>
      <c r="G55" s="10" t="s">
        <v>745</v>
      </c>
      <c r="H55" s="7">
        <v>4039591000</v>
      </c>
      <c r="J55" s="25"/>
      <c r="K55" s="25"/>
    </row>
    <row r="56" spans="1:11">
      <c r="A56" s="5" t="s">
        <v>744</v>
      </c>
      <c r="B56" s="11" t="s">
        <v>754</v>
      </c>
      <c r="C56" s="11" t="s">
        <v>755</v>
      </c>
      <c r="D56" s="11" t="s">
        <v>745</v>
      </c>
      <c r="J56" s="5" t="s">
        <v>744</v>
      </c>
      <c r="K56" t="s">
        <v>746</v>
      </c>
    </row>
    <row r="57" spans="1:11">
      <c r="A57" s="10" t="s">
        <v>24</v>
      </c>
      <c r="B57" s="7">
        <v>15</v>
      </c>
      <c r="C57" s="7">
        <v>7</v>
      </c>
      <c r="D57" s="7">
        <v>22</v>
      </c>
      <c r="J57" s="10" t="s">
        <v>24</v>
      </c>
      <c r="K57" s="7">
        <v>4039591000</v>
      </c>
    </row>
    <row r="58" spans="1:11">
      <c r="A58" s="10" t="s">
        <v>745</v>
      </c>
      <c r="B58" s="7">
        <v>15</v>
      </c>
      <c r="C58" s="7">
        <v>7</v>
      </c>
      <c r="D58" s="7">
        <v>22</v>
      </c>
      <c r="J58" s="10" t="s">
        <v>745</v>
      </c>
      <c r="K58" s="7">
        <v>4039591000</v>
      </c>
    </row>
    <row r="61" spans="1:11">
      <c r="A61" s="5" t="s">
        <v>4</v>
      </c>
      <c r="B61" t="s">
        <v>770</v>
      </c>
    </row>
    <row r="62" spans="1:11">
      <c r="A62" s="5" t="s">
        <v>6</v>
      </c>
      <c r="B62" t="s">
        <v>24</v>
      </c>
    </row>
    <row r="64" spans="1:11">
      <c r="A64" s="5" t="s">
        <v>766</v>
      </c>
      <c r="B64" s="5" t="s">
        <v>761</v>
      </c>
    </row>
    <row r="65" spans="1:4">
      <c r="A65" s="5" t="s">
        <v>767</v>
      </c>
      <c r="B65" s="11" t="s">
        <v>754</v>
      </c>
      <c r="C65" s="11" t="s">
        <v>755</v>
      </c>
      <c r="D65" s="11" t="s">
        <v>745</v>
      </c>
    </row>
    <row r="66" spans="1:4">
      <c r="A66" s="10" t="s">
        <v>23</v>
      </c>
      <c r="B66" s="7">
        <v>6</v>
      </c>
      <c r="C66" s="7">
        <v>3</v>
      </c>
      <c r="D66" s="7">
        <v>9</v>
      </c>
    </row>
    <row r="67" spans="1:4">
      <c r="A67" s="10" t="s">
        <v>15</v>
      </c>
      <c r="B67" s="7">
        <v>9</v>
      </c>
      <c r="C67" s="7">
        <v>4</v>
      </c>
      <c r="D67" s="7">
        <v>13</v>
      </c>
    </row>
    <row r="68" spans="1:4">
      <c r="A68" s="10" t="s">
        <v>745</v>
      </c>
      <c r="B68" s="7">
        <v>15</v>
      </c>
      <c r="C68" s="7">
        <v>7</v>
      </c>
      <c r="D68" s="7">
        <v>22</v>
      </c>
    </row>
    <row r="70" spans="1:4">
      <c r="A70" s="5" t="s">
        <v>6</v>
      </c>
      <c r="B70" t="s">
        <v>24</v>
      </c>
    </row>
    <row r="71" spans="1:4">
      <c r="A71" s="5" t="s">
        <v>4</v>
      </c>
      <c r="B71" t="s">
        <v>770</v>
      </c>
    </row>
    <row r="73" spans="1:4">
      <c r="A73" s="5" t="s">
        <v>768</v>
      </c>
      <c r="B73" s="5" t="s">
        <v>761</v>
      </c>
    </row>
    <row r="74" spans="1:4">
      <c r="A74" s="5" t="s">
        <v>12</v>
      </c>
      <c r="B74" s="11" t="s">
        <v>754</v>
      </c>
      <c r="C74" s="11" t="s">
        <v>755</v>
      </c>
      <c r="D74" s="11" t="s">
        <v>745</v>
      </c>
    </row>
    <row r="75" spans="1:4">
      <c r="A75" s="10" t="s">
        <v>69</v>
      </c>
      <c r="B75" s="7">
        <v>1</v>
      </c>
      <c r="C75" s="7"/>
      <c r="D75" s="7">
        <v>1</v>
      </c>
    </row>
    <row r="76" spans="1:4">
      <c r="A76" s="10" t="s">
        <v>20</v>
      </c>
      <c r="B76" s="7">
        <v>11</v>
      </c>
      <c r="C76" s="7">
        <v>6</v>
      </c>
      <c r="D76" s="7">
        <v>17</v>
      </c>
    </row>
    <row r="77" spans="1:4">
      <c r="A77" s="10" t="s">
        <v>745</v>
      </c>
      <c r="B77" s="7">
        <v>12</v>
      </c>
      <c r="C77" s="7">
        <v>6</v>
      </c>
      <c r="D77" s="7">
        <v>18</v>
      </c>
    </row>
    <row r="79" spans="1:4">
      <c r="A79" s="5" t="s">
        <v>744</v>
      </c>
      <c r="B79" t="s">
        <v>746</v>
      </c>
    </row>
    <row r="80" spans="1:4">
      <c r="A80" s="10" t="s">
        <v>24</v>
      </c>
      <c r="B80" s="7">
        <v>4039591000</v>
      </c>
    </row>
    <row r="81" spans="1:6">
      <c r="A81" s="10" t="s">
        <v>745</v>
      </c>
      <c r="B81" s="7">
        <v>4039591000</v>
      </c>
    </row>
    <row r="91" spans="1:6">
      <c r="A91" s="5" t="s">
        <v>744</v>
      </c>
    </row>
    <row r="92" spans="1:6">
      <c r="A92" s="6" t="s">
        <v>747</v>
      </c>
    </row>
    <row r="93" spans="1:6">
      <c r="A93" s="6" t="s">
        <v>748</v>
      </c>
      <c r="F93" s="5" t="s">
        <v>744</v>
      </c>
    </row>
    <row r="94" spans="1:6">
      <c r="A94" s="6" t="s">
        <v>749</v>
      </c>
      <c r="F94" s="10" t="s">
        <v>24</v>
      </c>
    </row>
    <row r="95" spans="1:6">
      <c r="A95" s="6" t="s">
        <v>750</v>
      </c>
      <c r="F95" s="10" t="s">
        <v>745</v>
      </c>
    </row>
    <row r="96" spans="1:6">
      <c r="A96" s="6" t="s">
        <v>751</v>
      </c>
    </row>
    <row r="97" spans="1:12">
      <c r="A97" s="6" t="s">
        <v>752</v>
      </c>
    </row>
    <row r="98" spans="1:12">
      <c r="A98" s="6" t="s">
        <v>753</v>
      </c>
    </row>
    <row r="99" spans="1:12">
      <c r="A99" s="6" t="s">
        <v>754</v>
      </c>
    </row>
    <row r="100" spans="1:12">
      <c r="A100" s="6" t="s">
        <v>755</v>
      </c>
    </row>
    <row r="101" spans="1:12">
      <c r="A101" s="6" t="s">
        <v>756</v>
      </c>
      <c r="L101" s="5" t="s">
        <v>744</v>
      </c>
    </row>
    <row r="102" spans="1:12">
      <c r="A102" s="6" t="s">
        <v>757</v>
      </c>
      <c r="L102" s="10" t="s">
        <v>44</v>
      </c>
    </row>
    <row r="103" spans="1:12">
      <c r="A103" s="6" t="s">
        <v>758</v>
      </c>
      <c r="L103" s="10" t="s">
        <v>40</v>
      </c>
    </row>
    <row r="104" spans="1:12">
      <c r="A104" s="6" t="s">
        <v>745</v>
      </c>
      <c r="L104" s="10" t="s">
        <v>64</v>
      </c>
    </row>
    <row r="105" spans="1:12">
      <c r="L105" s="10" t="s">
        <v>28</v>
      </c>
    </row>
    <row r="106" spans="1:12">
      <c r="L106" s="10" t="s">
        <v>60</v>
      </c>
    </row>
    <row r="107" spans="1:12">
      <c r="L107" s="10" t="s">
        <v>54</v>
      </c>
    </row>
    <row r="108" spans="1:12">
      <c r="L108" s="10" t="s">
        <v>16</v>
      </c>
    </row>
    <row r="109" spans="1:12">
      <c r="L109" s="10" t="s">
        <v>57</v>
      </c>
    </row>
    <row r="110" spans="1:12">
      <c r="L110" s="10" t="s">
        <v>745</v>
      </c>
    </row>
    <row r="111" spans="1:12">
      <c r="B111" s="5" t="s">
        <v>6</v>
      </c>
      <c r="C111" t="s">
        <v>24</v>
      </c>
    </row>
    <row r="112" spans="1:12">
      <c r="B112" s="5" t="s">
        <v>4</v>
      </c>
      <c r="C112" t="s">
        <v>770</v>
      </c>
    </row>
    <row r="113" spans="2:7">
      <c r="B113" s="5" t="s">
        <v>5</v>
      </c>
      <c r="C113" t="s">
        <v>770</v>
      </c>
    </row>
    <row r="115" spans="2:7">
      <c r="B115" s="5" t="s">
        <v>744</v>
      </c>
      <c r="C115" t="s">
        <v>746</v>
      </c>
    </row>
    <row r="116" spans="2:7">
      <c r="B116" s="6" t="s">
        <v>747</v>
      </c>
      <c r="C116" s="7">
        <v>203719000</v>
      </c>
    </row>
    <row r="117" spans="2:7">
      <c r="B117" s="6" t="s">
        <v>748</v>
      </c>
      <c r="C117" s="7">
        <v>418146000</v>
      </c>
    </row>
    <row r="118" spans="2:7">
      <c r="B118" s="6" t="s">
        <v>749</v>
      </c>
      <c r="C118" s="7">
        <v>385459000</v>
      </c>
    </row>
    <row r="119" spans="2:7">
      <c r="B119" s="6" t="s">
        <v>750</v>
      </c>
      <c r="C119" s="7">
        <v>188181000</v>
      </c>
    </row>
    <row r="120" spans="2:7">
      <c r="B120" s="6" t="s">
        <v>751</v>
      </c>
      <c r="C120" s="7">
        <v>185803000</v>
      </c>
    </row>
    <row r="121" spans="2:7">
      <c r="B121" s="6" t="s">
        <v>752</v>
      </c>
      <c r="C121" s="7">
        <v>135566000</v>
      </c>
    </row>
    <row r="122" spans="2:7">
      <c r="B122" s="6" t="s">
        <v>753</v>
      </c>
      <c r="C122" s="7">
        <v>798248000</v>
      </c>
    </row>
    <row r="123" spans="2:7">
      <c r="B123" s="6" t="s">
        <v>754</v>
      </c>
      <c r="C123" s="7">
        <v>493488000</v>
      </c>
    </row>
    <row r="124" spans="2:7">
      <c r="B124" s="6" t="s">
        <v>755</v>
      </c>
      <c r="C124" s="7">
        <v>180183000</v>
      </c>
    </row>
    <row r="125" spans="2:7">
      <c r="B125" s="6" t="s">
        <v>756</v>
      </c>
      <c r="C125" s="7">
        <v>368636000</v>
      </c>
      <c r="E125" s="5" t="s">
        <v>744</v>
      </c>
      <c r="F125" t="s">
        <v>746</v>
      </c>
    </row>
    <row r="126" spans="2:7">
      <c r="B126" s="6" t="s">
        <v>757</v>
      </c>
      <c r="C126" s="7">
        <v>216664000</v>
      </c>
      <c r="E126" s="10" t="s">
        <v>44</v>
      </c>
      <c r="F126" s="7">
        <v>422181000</v>
      </c>
      <c r="G126" t="e">
        <f>INDEX(E126:E133,MATCH(MAX(F126:F133),F126:F133,0))*INDEX(E126:E133,MATCH(MAX(F126:F133),F126:F133,0))</f>
        <v>#VALUE!</v>
      </c>
    </row>
    <row r="127" spans="2:7">
      <c r="B127" s="6" t="s">
        <v>758</v>
      </c>
      <c r="C127" s="7">
        <v>465498000</v>
      </c>
      <c r="E127" s="10" t="s">
        <v>40</v>
      </c>
      <c r="F127" s="7">
        <v>402894000</v>
      </c>
    </row>
    <row r="128" spans="2:7">
      <c r="B128" s="6" t="s">
        <v>745</v>
      </c>
      <c r="C128" s="7">
        <v>4039591000</v>
      </c>
      <c r="E128" s="10" t="s">
        <v>64</v>
      </c>
      <c r="F128" s="7">
        <v>326427000</v>
      </c>
      <c r="G128" t="b">
        <f>Dashboard1!M32=Pivottable!H132</f>
        <v>1</v>
      </c>
    </row>
    <row r="129" spans="5:7">
      <c r="E129" s="10" t="s">
        <v>28</v>
      </c>
      <c r="F129" s="7">
        <v>612722000</v>
      </c>
      <c r="G129" t="str">
        <f>INDEX(E126:E133,MATCH(MAX(F126:F133),F126:F133,0))</f>
        <v>Toyota Highlander</v>
      </c>
    </row>
    <row r="130" spans="5:7">
      <c r="E130" s="10" t="s">
        <v>60</v>
      </c>
      <c r="F130" s="7">
        <v>488764000</v>
      </c>
    </row>
    <row r="131" spans="5:7">
      <c r="E131" s="10" t="s">
        <v>54</v>
      </c>
      <c r="F131" s="7">
        <v>567409000</v>
      </c>
    </row>
    <row r="132" spans="5:7">
      <c r="E132" s="10" t="s">
        <v>16</v>
      </c>
      <c r="F132" s="7">
        <v>300848000</v>
      </c>
    </row>
    <row r="133" spans="5:7">
      <c r="E133" s="10" t="s">
        <v>57</v>
      </c>
      <c r="F133" s="7">
        <v>918346000</v>
      </c>
    </row>
    <row r="134" spans="5:7">
      <c r="E134" s="10" t="s">
        <v>745</v>
      </c>
      <c r="F134" s="7">
        <v>4039591000</v>
      </c>
    </row>
  </sheetData>
  <pageMargins left="0.7" right="0.7" top="0.75" bottom="0.75" header="0.3" footer="0.3"/>
  <pageSetup orientation="portrait" r:id="rId22"/>
  <drawing r:id="rId23"/>
  <extLst>
    <ext xmlns:x14="http://schemas.microsoft.com/office/spreadsheetml/2009/9/main" uri="{A8765BA9-456A-4dab-B4F3-ACF838C121DE}">
      <x14:slicerList>
        <x14:slicer r:id="rId24"/>
      </x14:slicerList>
    </ext>
    <ext xmlns:x15="http://schemas.microsoft.com/office/spreadsheetml/2010/11/main" uri="{7E03D99C-DC04-49d9-9315-930204A7B6E9}">
      <x15:timelineRefs>
        <x15:timelineRef r:id="rId2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80" zoomScaleNormal="80" workbookViewId="0">
      <selection activeCell="D30" sqref="D30"/>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Workingboard</vt:lpstr>
      <vt:lpstr>Pivottable</vt:lpstr>
      <vt:lpstr>Dashboard1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2026-08-23T18:39:45Z</cp:lastPrinted>
  <dcterms:created xsi:type="dcterms:W3CDTF">2026-08-17T12:48:54Z</dcterms:created>
  <dcterms:modified xsi:type="dcterms:W3CDTF">2026-08-23T18:42:05Z</dcterms:modified>
</cp:coreProperties>
</file>